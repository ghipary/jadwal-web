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fary\Downloads\"/>
    </mc:Choice>
  </mc:AlternateContent>
  <xr:revisionPtr revIDLastSave="0" documentId="13_ncr:1_{CCA56A28-0179-4CE3-8BEE-925AECE63CC7}" xr6:coauthVersionLast="36" xr6:coauthVersionMax="36" xr10:uidLastSave="{00000000-0000-0000-0000-000000000000}"/>
  <bookViews>
    <workbookView xWindow="0" yWindow="0" windowWidth="20490" windowHeight="6825" xr2:uid="{93F187E9-7997-45F9-9A8E-FAA200E3A73E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4" i="2" l="1"/>
  <c r="N54" i="2"/>
  <c r="M54" i="2"/>
  <c r="L54" i="2"/>
  <c r="K54" i="2"/>
  <c r="J54" i="2"/>
  <c r="I54" i="2"/>
  <c r="H54" i="2"/>
  <c r="G54" i="2"/>
  <c r="F54" i="2"/>
  <c r="E54" i="2"/>
  <c r="D54" i="2"/>
  <c r="Q53" i="2"/>
  <c r="P53" i="2"/>
  <c r="Q52" i="2"/>
  <c r="P52" i="2"/>
  <c r="Q51" i="2"/>
  <c r="P51" i="2"/>
  <c r="Q50" i="2"/>
  <c r="P50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P18" i="2"/>
  <c r="Q17" i="2"/>
  <c r="P17" i="2"/>
  <c r="Q16" i="2"/>
  <c r="P16" i="2"/>
  <c r="P15" i="2"/>
  <c r="P14" i="2"/>
  <c r="Q13" i="2"/>
  <c r="P13" i="2"/>
  <c r="Q12" i="2"/>
  <c r="P12" i="2"/>
  <c r="Q11" i="2"/>
  <c r="P11" i="2"/>
  <c r="Q10" i="2"/>
  <c r="P10" i="2"/>
  <c r="P9" i="2"/>
  <c r="Q8" i="2"/>
  <c r="P8" i="2"/>
  <c r="Q7" i="2"/>
  <c r="Q54" i="2" s="1"/>
  <c r="P7" i="2"/>
  <c r="P54" i="2" s="1"/>
  <c r="P51" i="1" l="1"/>
  <c r="Q10" i="1"/>
  <c r="Q11" i="1"/>
  <c r="Q12" i="1"/>
  <c r="Q16" i="1"/>
  <c r="Q19" i="1"/>
  <c r="Q20" i="1"/>
  <c r="Q21" i="1"/>
  <c r="Q22" i="1"/>
  <c r="Q23" i="1"/>
  <c r="Q24" i="1"/>
  <c r="Q25" i="1"/>
  <c r="Q26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50" i="1"/>
  <c r="Q51" i="1"/>
  <c r="Q52" i="1"/>
  <c r="Q53" i="1"/>
  <c r="Q7" i="1"/>
  <c r="D54" i="1"/>
  <c r="E54" i="1"/>
  <c r="F54" i="1"/>
  <c r="G54" i="1"/>
  <c r="H54" i="1"/>
  <c r="I54" i="1"/>
  <c r="J54" i="1"/>
  <c r="K54" i="1"/>
  <c r="L54" i="1"/>
  <c r="M54" i="1"/>
  <c r="N54" i="1"/>
  <c r="O5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7" i="1"/>
  <c r="Q48" i="1" l="1"/>
  <c r="Q27" i="1"/>
  <c r="Q17" i="1"/>
  <c r="Q13" i="1"/>
  <c r="Q8" i="1"/>
  <c r="P54" i="1"/>
  <c r="Q54" i="1" l="1"/>
</calcChain>
</file>

<file path=xl/sharedStrings.xml><?xml version="1.0" encoding="utf-8"?>
<sst xmlns="http://schemas.openxmlformats.org/spreadsheetml/2006/main" count="252" uniqueCount="85">
  <si>
    <t>RENCANA PLOTING GURU SMA WAHIDIYAH</t>
  </si>
  <si>
    <t>TAHUN PELAJARAN 2026/2027</t>
  </si>
  <si>
    <t>SEMESTER 2</t>
  </si>
  <si>
    <t>KELAS X</t>
  </si>
  <si>
    <t>KELAS XI</t>
  </si>
  <si>
    <t>KELAS XII</t>
  </si>
  <si>
    <t>NO</t>
  </si>
  <si>
    <t>NAMA</t>
  </si>
  <si>
    <t>MATA PELAJARAN</t>
  </si>
  <si>
    <t>X-1</t>
  </si>
  <si>
    <t>X-2</t>
  </si>
  <si>
    <t>X-3</t>
  </si>
  <si>
    <t>X-4</t>
  </si>
  <si>
    <t>XI-1</t>
  </si>
  <si>
    <t>XI-2</t>
  </si>
  <si>
    <t>XI-3</t>
  </si>
  <si>
    <t>XI-4</t>
  </si>
  <si>
    <t>XII-1</t>
  </si>
  <si>
    <t>XII-2</t>
  </si>
  <si>
    <t>XII-3</t>
  </si>
  <si>
    <t>XII-4</t>
  </si>
  <si>
    <t>JML</t>
  </si>
  <si>
    <t>TOTAL</t>
  </si>
  <si>
    <t>Heterogen</t>
  </si>
  <si>
    <t>lis</t>
  </si>
  <si>
    <t>Mia Ung</t>
  </si>
  <si>
    <t>Pipik Dwi Rahayu, S.Pd.</t>
  </si>
  <si>
    <t>B. INGGRIS</t>
  </si>
  <si>
    <t>Musri'atun Nikmah, S.E.</t>
  </si>
  <si>
    <t>B. INGGRIS Lanjut</t>
  </si>
  <si>
    <t>Firdausi Ahadiyah, S.Pd.</t>
  </si>
  <si>
    <t>Sabar Dewantara, S.Pd.</t>
  </si>
  <si>
    <t>MATEMATIKA</t>
  </si>
  <si>
    <t>Seliesya Alin Nabila</t>
  </si>
  <si>
    <t>Sofiatur Rizkiyah, S.Pd.</t>
  </si>
  <si>
    <t>MATEMATIKA Lanjut</t>
  </si>
  <si>
    <t>FISIKA</t>
  </si>
  <si>
    <t>Yannis Mardukrtyarta W, S.Pd.</t>
  </si>
  <si>
    <t>Dewi Usria, S.Pd.</t>
  </si>
  <si>
    <t>Abdurrahman Al-Ghifari</t>
  </si>
  <si>
    <t>Umi So'im, S.Pd.</t>
  </si>
  <si>
    <t>BIOLOGI</t>
  </si>
  <si>
    <t>Nur Lailatul Unzila, S.M.</t>
  </si>
  <si>
    <t>Muhammad Kevin, S.Kom.</t>
  </si>
  <si>
    <t>INFORMATIKA</t>
  </si>
  <si>
    <t>Zarabiatulrfa Alfidhlah</t>
  </si>
  <si>
    <t>Uni Widiyanti, S.Si.</t>
  </si>
  <si>
    <t>KIMIA</t>
  </si>
  <si>
    <t>Saiful Umam, S.Pd.</t>
  </si>
  <si>
    <t>Atika Mustika Murni, S.M.</t>
  </si>
  <si>
    <t>SEJARAH</t>
  </si>
  <si>
    <t>Widhy Yustikasari, S.E.</t>
  </si>
  <si>
    <t>EKONOMI</t>
  </si>
  <si>
    <t>Roihatul Jannah, S.E.</t>
  </si>
  <si>
    <t>Shofi Salamatunnisa, S.Ak.</t>
  </si>
  <si>
    <t>Binti Mu'alifah, S.Pd.</t>
  </si>
  <si>
    <t>GEOGRAFI</t>
  </si>
  <si>
    <t>Prasasti Pridirahayu, S.Sos.</t>
  </si>
  <si>
    <t>SOSIOLOGI</t>
  </si>
  <si>
    <t>Nurul Ainun Nikmah, S.Sos.</t>
  </si>
  <si>
    <t>Misbakhul Anwar, M.H.</t>
  </si>
  <si>
    <t>PEND. PANCASILA</t>
  </si>
  <si>
    <t>Abdullah Abadi, S.E., S.Pd.</t>
  </si>
  <si>
    <t>Fathimatuz Zahro, S.Ag.</t>
  </si>
  <si>
    <t>PAI</t>
  </si>
  <si>
    <t>Dede Jamalul Aziz, M.Pd.I</t>
  </si>
  <si>
    <t>Raghana Githa V., S.Pd.</t>
  </si>
  <si>
    <t>PJOK</t>
  </si>
  <si>
    <t>Mualim, S.HI.</t>
  </si>
  <si>
    <t>Alif Afandi, S.E</t>
  </si>
  <si>
    <t>Fitri Isvi Sati R, S.Pd.</t>
  </si>
  <si>
    <t>B. INDONESIA</t>
  </si>
  <si>
    <t>Zainal Arifin,S.E.</t>
  </si>
  <si>
    <t>SENI BUDAYA</t>
  </si>
  <si>
    <t>Dwi Anik Suharianti, S.Pd.</t>
  </si>
  <si>
    <t>PKWU</t>
  </si>
  <si>
    <t>Binti Rofiatul M, M.Pd.I.</t>
  </si>
  <si>
    <t>B. ARAB</t>
  </si>
  <si>
    <t>Dewi Amilatul K., S.Pd.</t>
  </si>
  <si>
    <t>Umi Mualimah, S.Sy.</t>
  </si>
  <si>
    <t>PEND. WAHIDIYAH</t>
  </si>
  <si>
    <t>Anwar Musyafak, S.Pd.</t>
  </si>
  <si>
    <t>Ky Badrul Hamam,M.M.</t>
  </si>
  <si>
    <t>Nunung Nurhayati, S.T.</t>
  </si>
  <si>
    <t>Nurul Arifin, Amd. Kom.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</si>
</sst>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3774-67C7-4080-A0CB-0D0E330861FB}">
  <dimension ref="A1:Q54"/>
  <sheetViews>
    <sheetView tabSelected="1" zoomScale="66" workbookViewId="0">
      <selection sqref="A1:Q1"/>
    </sheetView>
  </sheetViews>
  <sheetFormatPr defaultRowHeight="15" x14ac:dyDescent="0.25"/>
  <cols>
    <col min="1" max="1" width="5.140625" style="1" bestFit="1" customWidth="1"/>
    <col min="2" max="2" width="37.42578125" style="2" bestFit="1" customWidth="1"/>
    <col min="3" max="3" width="26.7109375" style="2" customWidth="1"/>
    <col min="4" max="4" width="4.85546875" style="1" bestFit="1" customWidth="1"/>
    <col min="5" max="6" width="5.28515625" style="1" bestFit="1" customWidth="1"/>
    <col min="7" max="7" width="5.28515625" style="1" customWidth="1"/>
    <col min="8" max="8" width="5.5703125" style="1" bestFit="1" customWidth="1"/>
    <col min="9" max="9" width="5.85546875" style="1" customWidth="1"/>
    <col min="10" max="12" width="6.140625" style="1" bestFit="1" customWidth="1"/>
    <col min="13" max="15" width="6.5703125" style="1" bestFit="1" customWidth="1"/>
    <col min="16" max="16" width="6.42578125" style="1" bestFit="1" customWidth="1"/>
    <col min="17" max="17" width="10.140625" style="1" bestFit="1" customWidth="1"/>
    <col min="18" max="16384" width="9.140625" style="1"/>
  </cols>
  <sheetData>
    <row r="1" spans="1:1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4"/>
      <c r="B4" s="5"/>
      <c r="C4" s="5"/>
      <c r="D4" s="3" t="s">
        <v>3</v>
      </c>
      <c r="E4" s="3"/>
      <c r="F4" s="3"/>
      <c r="G4" s="3"/>
      <c r="H4" s="3" t="s">
        <v>4</v>
      </c>
      <c r="I4" s="3"/>
      <c r="J4" s="3"/>
      <c r="K4" s="3"/>
      <c r="L4" s="3" t="s">
        <v>5</v>
      </c>
      <c r="M4" s="3"/>
      <c r="N4" s="3"/>
      <c r="O4" s="3"/>
      <c r="P4" s="9" t="s">
        <v>21</v>
      </c>
      <c r="Q4" s="9" t="s">
        <v>22</v>
      </c>
    </row>
    <row r="5" spans="1:17" x14ac:dyDescent="0.25">
      <c r="A5" s="9" t="s">
        <v>6</v>
      </c>
      <c r="B5" s="9" t="s">
        <v>7</v>
      </c>
      <c r="C5" s="9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10"/>
      <c r="Q5" s="10"/>
    </row>
    <row r="6" spans="1:17" s="16" customFormat="1" ht="36.75" customHeight="1" x14ac:dyDescent="0.25">
      <c r="A6" s="11"/>
      <c r="B6" s="11"/>
      <c r="C6" s="11"/>
      <c r="D6" s="13" t="s">
        <v>23</v>
      </c>
      <c r="E6" s="14"/>
      <c r="F6" s="14"/>
      <c r="G6" s="15"/>
      <c r="H6" s="12" t="s">
        <v>24</v>
      </c>
      <c r="I6" s="12" t="s">
        <v>25</v>
      </c>
      <c r="J6" s="12" t="s">
        <v>25</v>
      </c>
      <c r="K6" s="12" t="s">
        <v>25</v>
      </c>
      <c r="L6" s="12" t="s">
        <v>24</v>
      </c>
      <c r="M6" s="12" t="s">
        <v>25</v>
      </c>
      <c r="N6" s="12" t="s">
        <v>25</v>
      </c>
      <c r="O6" s="12" t="s">
        <v>25</v>
      </c>
      <c r="P6" s="11"/>
      <c r="Q6" s="11"/>
    </row>
    <row r="7" spans="1:17" x14ac:dyDescent="0.25">
      <c r="A7" s="4">
        <v>1</v>
      </c>
      <c r="B7" s="5" t="s">
        <v>26</v>
      </c>
      <c r="C7" s="5" t="s">
        <v>27</v>
      </c>
      <c r="D7" s="4"/>
      <c r="E7" s="4"/>
      <c r="F7" s="4"/>
      <c r="G7" s="4"/>
      <c r="H7" s="4"/>
      <c r="I7" s="4"/>
      <c r="J7" s="4">
        <v>3</v>
      </c>
      <c r="K7" s="4">
        <v>3</v>
      </c>
      <c r="L7" s="4">
        <v>3</v>
      </c>
      <c r="M7" s="4">
        <v>3</v>
      </c>
      <c r="N7" s="4">
        <v>3</v>
      </c>
      <c r="O7" s="4">
        <v>3</v>
      </c>
      <c r="P7" s="4">
        <f>SUM(D7:O7)</f>
        <v>18</v>
      </c>
      <c r="Q7" s="4">
        <f>SUM(D7:O7)</f>
        <v>18</v>
      </c>
    </row>
    <row r="8" spans="1:17" x14ac:dyDescent="0.25">
      <c r="A8" s="4">
        <v>2</v>
      </c>
      <c r="B8" s="5" t="s">
        <v>28</v>
      </c>
      <c r="C8" s="5" t="s">
        <v>27</v>
      </c>
      <c r="D8" s="4"/>
      <c r="E8" s="4"/>
      <c r="F8" s="4"/>
      <c r="G8" s="4"/>
      <c r="H8" s="4">
        <v>3</v>
      </c>
      <c r="I8" s="4">
        <v>3</v>
      </c>
      <c r="J8" s="4"/>
      <c r="K8" s="4"/>
      <c r="L8" s="4"/>
      <c r="M8" s="4"/>
      <c r="N8" s="4"/>
      <c r="O8" s="4"/>
      <c r="P8" s="4">
        <f t="shared" ref="P8:P53" si="0">SUM(D8:O8)</f>
        <v>6</v>
      </c>
      <c r="Q8" s="3">
        <f>P9+P8</f>
        <v>14</v>
      </c>
    </row>
    <row r="9" spans="1:17" x14ac:dyDescent="0.25">
      <c r="A9" s="4"/>
      <c r="B9" s="5" t="s">
        <v>28</v>
      </c>
      <c r="C9" s="5" t="s">
        <v>29</v>
      </c>
      <c r="D9" s="4"/>
      <c r="E9" s="4"/>
      <c r="F9" s="4"/>
      <c r="G9" s="4"/>
      <c r="H9" s="4">
        <v>2</v>
      </c>
      <c r="I9" s="4">
        <v>2</v>
      </c>
      <c r="J9" s="4"/>
      <c r="K9" s="4"/>
      <c r="L9" s="4">
        <v>2</v>
      </c>
      <c r="M9" s="4">
        <v>2</v>
      </c>
      <c r="N9" s="4"/>
      <c r="O9" s="4"/>
      <c r="P9" s="4">
        <f t="shared" si="0"/>
        <v>8</v>
      </c>
      <c r="Q9" s="3"/>
    </row>
    <row r="10" spans="1:17" x14ac:dyDescent="0.25">
      <c r="A10" s="4">
        <v>3</v>
      </c>
      <c r="B10" s="5" t="s">
        <v>30</v>
      </c>
      <c r="C10" s="5" t="s">
        <v>27</v>
      </c>
      <c r="D10" s="4">
        <v>3</v>
      </c>
      <c r="E10" s="4">
        <v>3</v>
      </c>
      <c r="F10" s="4">
        <v>3</v>
      </c>
      <c r="G10" s="4">
        <v>3</v>
      </c>
      <c r="H10" s="4"/>
      <c r="I10" s="4"/>
      <c r="J10" s="4"/>
      <c r="K10" s="4"/>
      <c r="L10" s="4"/>
      <c r="M10" s="4"/>
      <c r="N10" s="4"/>
      <c r="O10" s="4"/>
      <c r="P10" s="4">
        <f t="shared" si="0"/>
        <v>12</v>
      </c>
      <c r="Q10" s="4">
        <f t="shared" ref="Q10:Q53" si="1">SUM(D10:O10)</f>
        <v>12</v>
      </c>
    </row>
    <row r="11" spans="1:17" x14ac:dyDescent="0.25">
      <c r="A11" s="4">
        <v>4</v>
      </c>
      <c r="B11" s="5" t="s">
        <v>31</v>
      </c>
      <c r="C11" s="5" t="s">
        <v>32</v>
      </c>
      <c r="D11" s="4"/>
      <c r="E11" s="4"/>
      <c r="F11" s="4"/>
      <c r="G11" s="4"/>
      <c r="H11" s="4">
        <v>4</v>
      </c>
      <c r="I11" s="4">
        <v>4</v>
      </c>
      <c r="J11" s="4">
        <v>4</v>
      </c>
      <c r="K11" s="4">
        <v>4</v>
      </c>
      <c r="L11" s="4"/>
      <c r="M11" s="4"/>
      <c r="N11" s="4">
        <v>4</v>
      </c>
      <c r="O11" s="4">
        <v>4</v>
      </c>
      <c r="P11" s="4">
        <f t="shared" si="0"/>
        <v>24</v>
      </c>
      <c r="Q11" s="4">
        <f t="shared" si="1"/>
        <v>24</v>
      </c>
    </row>
    <row r="12" spans="1:17" x14ac:dyDescent="0.25">
      <c r="A12" s="4">
        <v>5</v>
      </c>
      <c r="B12" s="5" t="s">
        <v>33</v>
      </c>
      <c r="C12" s="5" t="s">
        <v>32</v>
      </c>
      <c r="D12" s="4">
        <v>4</v>
      </c>
      <c r="E12" s="4">
        <v>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 t="shared" si="0"/>
        <v>8</v>
      </c>
      <c r="Q12" s="4">
        <f t="shared" si="1"/>
        <v>8</v>
      </c>
    </row>
    <row r="13" spans="1:17" x14ac:dyDescent="0.25">
      <c r="A13" s="4">
        <v>6</v>
      </c>
      <c r="B13" s="5" t="s">
        <v>34</v>
      </c>
      <c r="C13" s="5" t="s">
        <v>35</v>
      </c>
      <c r="D13" s="4"/>
      <c r="E13" s="4"/>
      <c r="F13" s="4"/>
      <c r="G13" s="4"/>
      <c r="H13" s="4"/>
      <c r="I13" s="4"/>
      <c r="J13" s="4">
        <v>3</v>
      </c>
      <c r="K13" s="4">
        <v>3</v>
      </c>
      <c r="L13" s="4"/>
      <c r="M13" s="4"/>
      <c r="N13" s="4">
        <v>3</v>
      </c>
      <c r="O13" s="4">
        <v>3</v>
      </c>
      <c r="P13" s="4">
        <f t="shared" si="0"/>
        <v>12</v>
      </c>
      <c r="Q13" s="3">
        <f>P13+P14+P15</f>
        <v>26</v>
      </c>
    </row>
    <row r="14" spans="1:17" x14ac:dyDescent="0.25">
      <c r="A14" s="4"/>
      <c r="B14" s="5" t="s">
        <v>34</v>
      </c>
      <c r="C14" s="5" t="s">
        <v>32</v>
      </c>
      <c r="D14" s="4"/>
      <c r="E14" s="4"/>
      <c r="F14" s="4"/>
      <c r="G14" s="4"/>
      <c r="H14" s="4"/>
      <c r="I14" s="4"/>
      <c r="J14" s="4"/>
      <c r="K14" s="4"/>
      <c r="L14" s="4">
        <v>4</v>
      </c>
      <c r="M14" s="4">
        <v>4</v>
      </c>
      <c r="N14" s="4"/>
      <c r="O14" s="4"/>
      <c r="P14" s="4">
        <f t="shared" si="0"/>
        <v>8</v>
      </c>
      <c r="Q14" s="3"/>
    </row>
    <row r="15" spans="1:17" x14ac:dyDescent="0.25">
      <c r="A15" s="4"/>
      <c r="B15" s="5" t="s">
        <v>34</v>
      </c>
      <c r="C15" s="5" t="s">
        <v>36</v>
      </c>
      <c r="D15" s="4">
        <v>3</v>
      </c>
      <c r="E15" s="4">
        <v>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 t="shared" si="0"/>
        <v>6</v>
      </c>
      <c r="Q15" s="3"/>
    </row>
    <row r="16" spans="1:17" x14ac:dyDescent="0.25">
      <c r="A16" s="4">
        <v>7</v>
      </c>
      <c r="B16" s="5" t="s">
        <v>37</v>
      </c>
      <c r="C16" s="5" t="s">
        <v>36</v>
      </c>
      <c r="D16" s="4"/>
      <c r="E16" s="4"/>
      <c r="F16" s="4">
        <v>3</v>
      </c>
      <c r="G16" s="4">
        <v>3</v>
      </c>
      <c r="H16" s="4"/>
      <c r="I16" s="4"/>
      <c r="J16" s="4"/>
      <c r="K16" s="4"/>
      <c r="L16" s="4"/>
      <c r="M16" s="4"/>
      <c r="N16" s="4"/>
      <c r="O16" s="4"/>
      <c r="P16" s="4">
        <f t="shared" si="0"/>
        <v>6</v>
      </c>
      <c r="Q16" s="4">
        <f t="shared" si="1"/>
        <v>6</v>
      </c>
    </row>
    <row r="17" spans="1:17" x14ac:dyDescent="0.25">
      <c r="A17" s="4">
        <v>8</v>
      </c>
      <c r="B17" s="5" t="s">
        <v>38</v>
      </c>
      <c r="C17" s="5" t="s">
        <v>36</v>
      </c>
      <c r="D17" s="4"/>
      <c r="E17" s="4"/>
      <c r="F17" s="4"/>
      <c r="G17" s="4"/>
      <c r="H17" s="4"/>
      <c r="I17" s="4"/>
      <c r="J17" s="4">
        <v>5</v>
      </c>
      <c r="K17" s="4">
        <v>5</v>
      </c>
      <c r="L17" s="4"/>
      <c r="M17" s="4"/>
      <c r="N17" s="4">
        <v>5</v>
      </c>
      <c r="O17" s="4">
        <v>5</v>
      </c>
      <c r="P17" s="4">
        <f t="shared" si="0"/>
        <v>20</v>
      </c>
      <c r="Q17" s="3">
        <f>P17+P18</f>
        <v>28</v>
      </c>
    </row>
    <row r="18" spans="1:17" x14ac:dyDescent="0.25">
      <c r="A18" s="4"/>
      <c r="B18" s="5" t="s">
        <v>38</v>
      </c>
      <c r="C18" s="5" t="s">
        <v>32</v>
      </c>
      <c r="D18" s="4"/>
      <c r="E18" s="4"/>
      <c r="F18" s="4">
        <v>4</v>
      </c>
      <c r="G18" s="4">
        <v>4</v>
      </c>
      <c r="H18" s="4"/>
      <c r="I18" s="4"/>
      <c r="J18" s="4"/>
      <c r="K18" s="4"/>
      <c r="L18" s="4"/>
      <c r="M18" s="4"/>
      <c r="N18" s="4"/>
      <c r="O18" s="4"/>
      <c r="P18" s="4">
        <f t="shared" si="0"/>
        <v>8</v>
      </c>
      <c r="Q18" s="3"/>
    </row>
    <row r="19" spans="1:17" x14ac:dyDescent="0.25">
      <c r="A19" s="4">
        <v>9</v>
      </c>
      <c r="B19" s="5" t="s">
        <v>39</v>
      </c>
      <c r="C19" s="5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f t="shared" si="0"/>
        <v>0</v>
      </c>
      <c r="Q19" s="4">
        <f t="shared" si="1"/>
        <v>0</v>
      </c>
    </row>
    <row r="20" spans="1:17" x14ac:dyDescent="0.25">
      <c r="A20" s="4">
        <v>10</v>
      </c>
      <c r="B20" s="5" t="s">
        <v>40</v>
      </c>
      <c r="C20" s="5" t="s">
        <v>41</v>
      </c>
      <c r="D20" s="4">
        <v>2</v>
      </c>
      <c r="E20" s="4">
        <v>2</v>
      </c>
      <c r="F20" s="4">
        <v>2</v>
      </c>
      <c r="G20" s="4">
        <v>2</v>
      </c>
      <c r="H20" s="4"/>
      <c r="I20" s="4"/>
      <c r="J20" s="4"/>
      <c r="K20" s="4"/>
      <c r="L20" s="4"/>
      <c r="M20" s="4"/>
      <c r="N20" s="4">
        <v>3</v>
      </c>
      <c r="O20" s="4">
        <v>3</v>
      </c>
      <c r="P20" s="4">
        <f t="shared" si="0"/>
        <v>14</v>
      </c>
      <c r="Q20" s="4">
        <f t="shared" si="1"/>
        <v>14</v>
      </c>
    </row>
    <row r="21" spans="1:17" x14ac:dyDescent="0.25">
      <c r="A21" s="4">
        <v>11</v>
      </c>
      <c r="B21" s="5" t="s">
        <v>42</v>
      </c>
      <c r="C21" s="5" t="s">
        <v>41</v>
      </c>
      <c r="D21" s="4"/>
      <c r="E21" s="4"/>
      <c r="F21" s="4"/>
      <c r="G21" s="4"/>
      <c r="H21" s="4"/>
      <c r="I21" s="4"/>
      <c r="J21" s="4">
        <v>3</v>
      </c>
      <c r="K21" s="4">
        <v>3</v>
      </c>
      <c r="L21" s="4"/>
      <c r="M21" s="4"/>
      <c r="N21" s="4"/>
      <c r="O21" s="4"/>
      <c r="P21" s="4">
        <f t="shared" si="0"/>
        <v>6</v>
      </c>
      <c r="Q21" s="4">
        <f t="shared" si="1"/>
        <v>6</v>
      </c>
    </row>
    <row r="22" spans="1:17" x14ac:dyDescent="0.25">
      <c r="A22" s="4">
        <v>12</v>
      </c>
      <c r="B22" s="5" t="s">
        <v>43</v>
      </c>
      <c r="C22" s="5" t="s">
        <v>44</v>
      </c>
      <c r="D22" s="4"/>
      <c r="E22" s="4"/>
      <c r="F22" s="4"/>
      <c r="G22" s="4"/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3</v>
      </c>
      <c r="N22" s="4">
        <v>3</v>
      </c>
      <c r="O22" s="4">
        <v>3</v>
      </c>
      <c r="P22" s="4">
        <f t="shared" si="0"/>
        <v>24</v>
      </c>
      <c r="Q22" s="4">
        <f t="shared" si="1"/>
        <v>24</v>
      </c>
    </row>
    <row r="23" spans="1:17" x14ac:dyDescent="0.25">
      <c r="A23" s="4">
        <v>13</v>
      </c>
      <c r="B23" s="5" t="s">
        <v>45</v>
      </c>
      <c r="C23" s="5" t="s">
        <v>44</v>
      </c>
      <c r="D23" s="4"/>
      <c r="E23" s="4"/>
      <c r="F23" s="4">
        <v>2</v>
      </c>
      <c r="G23" s="4">
        <v>2</v>
      </c>
      <c r="H23" s="4"/>
      <c r="I23" s="4"/>
      <c r="J23" s="4"/>
      <c r="K23" s="4"/>
      <c r="L23" s="4"/>
      <c r="M23" s="4"/>
      <c r="N23" s="4"/>
      <c r="O23" s="4"/>
      <c r="P23" s="4">
        <f t="shared" si="0"/>
        <v>4</v>
      </c>
      <c r="Q23" s="4">
        <f t="shared" si="1"/>
        <v>4</v>
      </c>
    </row>
    <row r="24" spans="1:17" x14ac:dyDescent="0.25">
      <c r="A24" s="4">
        <v>14</v>
      </c>
      <c r="B24" s="5" t="s">
        <v>46</v>
      </c>
      <c r="C24" s="5" t="s">
        <v>47</v>
      </c>
      <c r="D24" s="4">
        <v>3</v>
      </c>
      <c r="E24" s="4">
        <v>3</v>
      </c>
      <c r="F24" s="4">
        <v>3</v>
      </c>
      <c r="G24" s="4">
        <v>3</v>
      </c>
      <c r="H24" s="4"/>
      <c r="I24" s="4"/>
      <c r="J24" s="4"/>
      <c r="K24" s="4"/>
      <c r="L24" s="4"/>
      <c r="M24" s="4"/>
      <c r="N24" s="4">
        <v>5</v>
      </c>
      <c r="O24" s="4">
        <v>5</v>
      </c>
      <c r="P24" s="4">
        <f t="shared" si="0"/>
        <v>22</v>
      </c>
      <c r="Q24" s="4">
        <f t="shared" si="1"/>
        <v>22</v>
      </c>
    </row>
    <row r="25" spans="1:17" x14ac:dyDescent="0.25">
      <c r="A25" s="4">
        <v>15</v>
      </c>
      <c r="B25" s="5" t="s">
        <v>48</v>
      </c>
      <c r="C25" s="5" t="s">
        <v>47</v>
      </c>
      <c r="D25" s="4"/>
      <c r="E25" s="4"/>
      <c r="F25" s="4"/>
      <c r="G25" s="4"/>
      <c r="H25" s="4"/>
      <c r="I25" s="4"/>
      <c r="J25" s="4">
        <v>5</v>
      </c>
      <c r="K25" s="4">
        <v>5</v>
      </c>
      <c r="L25" s="4"/>
      <c r="M25" s="4"/>
      <c r="N25" s="4"/>
      <c r="O25" s="4"/>
      <c r="P25" s="4">
        <f t="shared" si="0"/>
        <v>10</v>
      </c>
      <c r="Q25" s="4">
        <f t="shared" si="1"/>
        <v>10</v>
      </c>
    </row>
    <row r="26" spans="1:17" x14ac:dyDescent="0.25">
      <c r="A26" s="4">
        <v>16</v>
      </c>
      <c r="B26" s="5" t="s">
        <v>49</v>
      </c>
      <c r="C26" s="5" t="s">
        <v>50</v>
      </c>
      <c r="D26" s="4">
        <v>2</v>
      </c>
      <c r="E26" s="4">
        <v>2</v>
      </c>
      <c r="F26" s="4"/>
      <c r="G26" s="4"/>
      <c r="H26" s="4">
        <v>2</v>
      </c>
      <c r="I26" s="4">
        <v>2</v>
      </c>
      <c r="J26" s="4">
        <v>2</v>
      </c>
      <c r="K26" s="4">
        <v>2</v>
      </c>
      <c r="L26" s="4"/>
      <c r="M26" s="4"/>
      <c r="N26" s="4"/>
      <c r="O26" s="4"/>
      <c r="P26" s="4">
        <f t="shared" si="0"/>
        <v>12</v>
      </c>
      <c r="Q26" s="4">
        <f t="shared" si="1"/>
        <v>12</v>
      </c>
    </row>
    <row r="27" spans="1:17" x14ac:dyDescent="0.25">
      <c r="A27" s="4">
        <v>17</v>
      </c>
      <c r="B27" s="5" t="s">
        <v>51</v>
      </c>
      <c r="C27" s="5" t="s">
        <v>50</v>
      </c>
      <c r="D27" s="4"/>
      <c r="E27" s="4"/>
      <c r="F27" s="4">
        <v>2</v>
      </c>
      <c r="G27" s="4">
        <v>2</v>
      </c>
      <c r="H27" s="4"/>
      <c r="I27" s="4"/>
      <c r="J27" s="4"/>
      <c r="K27" s="4"/>
      <c r="L27" s="4">
        <v>2</v>
      </c>
      <c r="M27" s="4">
        <v>2</v>
      </c>
      <c r="N27" s="4">
        <v>2</v>
      </c>
      <c r="O27" s="4">
        <v>2</v>
      </c>
      <c r="P27" s="4">
        <f t="shared" si="0"/>
        <v>12</v>
      </c>
      <c r="Q27" s="3">
        <f>P27+P28</f>
        <v>18</v>
      </c>
    </row>
    <row r="28" spans="1:17" x14ac:dyDescent="0.25">
      <c r="A28" s="4"/>
      <c r="B28" s="5" t="s">
        <v>51</v>
      </c>
      <c r="C28" s="5" t="s">
        <v>52</v>
      </c>
      <c r="D28" s="4">
        <v>3</v>
      </c>
      <c r="E28" s="4">
        <v>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f t="shared" si="0"/>
        <v>6</v>
      </c>
      <c r="Q28" s="3"/>
    </row>
    <row r="29" spans="1:17" x14ac:dyDescent="0.25">
      <c r="A29" s="4">
        <v>18</v>
      </c>
      <c r="B29" s="5" t="s">
        <v>53</v>
      </c>
      <c r="C29" s="5" t="s">
        <v>52</v>
      </c>
      <c r="D29" s="4"/>
      <c r="E29" s="4"/>
      <c r="F29" s="4">
        <v>3</v>
      </c>
      <c r="G29" s="4">
        <v>3</v>
      </c>
      <c r="H29" s="4">
        <v>5</v>
      </c>
      <c r="I29" s="4">
        <v>5</v>
      </c>
      <c r="J29" s="4"/>
      <c r="K29" s="4"/>
      <c r="L29" s="4"/>
      <c r="M29" s="4"/>
      <c r="N29" s="4"/>
      <c r="O29" s="4"/>
      <c r="P29" s="4">
        <f t="shared" si="0"/>
        <v>16</v>
      </c>
      <c r="Q29" s="4">
        <f t="shared" si="1"/>
        <v>16</v>
      </c>
    </row>
    <row r="30" spans="1:17" x14ac:dyDescent="0.25">
      <c r="A30" s="4">
        <v>19</v>
      </c>
      <c r="B30" s="5" t="s">
        <v>54</v>
      </c>
      <c r="C30" s="5" t="s">
        <v>52</v>
      </c>
      <c r="D30" s="4"/>
      <c r="E30" s="4"/>
      <c r="F30" s="4"/>
      <c r="G30" s="4"/>
      <c r="H30" s="4"/>
      <c r="I30" s="4"/>
      <c r="J30" s="4"/>
      <c r="K30" s="4"/>
      <c r="L30" s="4">
        <v>5</v>
      </c>
      <c r="M30" s="4">
        <v>5</v>
      </c>
      <c r="N30" s="4"/>
      <c r="O30" s="4"/>
      <c r="P30" s="4">
        <f t="shared" si="0"/>
        <v>10</v>
      </c>
      <c r="Q30" s="4">
        <f t="shared" si="1"/>
        <v>10</v>
      </c>
    </row>
    <row r="31" spans="1:17" x14ac:dyDescent="0.25">
      <c r="A31" s="4">
        <v>20</v>
      </c>
      <c r="B31" s="5" t="s">
        <v>55</v>
      </c>
      <c r="C31" s="5" t="s">
        <v>56</v>
      </c>
      <c r="D31" s="4">
        <v>3</v>
      </c>
      <c r="E31" s="4">
        <v>3</v>
      </c>
      <c r="F31" s="4">
        <v>3</v>
      </c>
      <c r="G31" s="4">
        <v>3</v>
      </c>
      <c r="H31" s="4">
        <v>5</v>
      </c>
      <c r="I31" s="4">
        <v>5</v>
      </c>
      <c r="J31" s="4"/>
      <c r="K31" s="4"/>
      <c r="L31" s="4">
        <v>5</v>
      </c>
      <c r="M31" s="4">
        <v>5</v>
      </c>
      <c r="N31" s="4"/>
      <c r="O31" s="4"/>
      <c r="P31" s="4">
        <f t="shared" si="0"/>
        <v>32</v>
      </c>
      <c r="Q31" s="4">
        <f t="shared" si="1"/>
        <v>32</v>
      </c>
    </row>
    <row r="32" spans="1:17" x14ac:dyDescent="0.25">
      <c r="A32" s="4">
        <v>21</v>
      </c>
      <c r="B32" s="5" t="s">
        <v>57</v>
      </c>
      <c r="C32" s="5" t="s">
        <v>58</v>
      </c>
      <c r="D32" s="4"/>
      <c r="E32" s="4"/>
      <c r="F32" s="4"/>
      <c r="G32" s="4"/>
      <c r="H32" s="4">
        <v>4</v>
      </c>
      <c r="I32" s="4">
        <v>4</v>
      </c>
      <c r="J32" s="4"/>
      <c r="K32" s="4"/>
      <c r="L32" s="4">
        <v>4</v>
      </c>
      <c r="M32" s="4">
        <v>4</v>
      </c>
      <c r="N32" s="4"/>
      <c r="O32" s="4"/>
      <c r="P32" s="4">
        <f t="shared" si="0"/>
        <v>16</v>
      </c>
      <c r="Q32" s="4">
        <f t="shared" si="1"/>
        <v>16</v>
      </c>
    </row>
    <row r="33" spans="1:17" x14ac:dyDescent="0.25">
      <c r="A33" s="4">
        <v>22</v>
      </c>
      <c r="B33" s="5" t="s">
        <v>59</v>
      </c>
      <c r="C33" s="5" t="s">
        <v>58</v>
      </c>
      <c r="D33" s="4">
        <v>3</v>
      </c>
      <c r="E33" s="4">
        <v>3</v>
      </c>
      <c r="F33" s="4">
        <v>3</v>
      </c>
      <c r="G33" s="4">
        <v>3</v>
      </c>
      <c r="H33" s="4"/>
      <c r="I33" s="4"/>
      <c r="J33" s="4"/>
      <c r="K33" s="4"/>
      <c r="L33" s="4"/>
      <c r="M33" s="4"/>
      <c r="N33" s="4"/>
      <c r="O33" s="4"/>
      <c r="P33" s="4">
        <f t="shared" si="0"/>
        <v>12</v>
      </c>
      <c r="Q33" s="4">
        <f t="shared" si="1"/>
        <v>12</v>
      </c>
    </row>
    <row r="34" spans="1:17" x14ac:dyDescent="0.25">
      <c r="A34" s="4">
        <v>23</v>
      </c>
      <c r="B34" s="5" t="s">
        <v>60</v>
      </c>
      <c r="C34" s="5" t="s">
        <v>61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>
        <v>2</v>
      </c>
      <c r="O34" s="4">
        <v>2</v>
      </c>
      <c r="P34" s="4">
        <f t="shared" si="0"/>
        <v>8</v>
      </c>
      <c r="Q34" s="4">
        <f t="shared" si="1"/>
        <v>8</v>
      </c>
    </row>
    <row r="35" spans="1:17" x14ac:dyDescent="0.25">
      <c r="A35" s="4">
        <v>24</v>
      </c>
      <c r="B35" s="5" t="s">
        <v>62</v>
      </c>
      <c r="C35" s="5" t="s">
        <v>61</v>
      </c>
      <c r="D35" s="4"/>
      <c r="E35" s="4"/>
      <c r="F35" s="4"/>
      <c r="G35" s="4"/>
      <c r="H35" s="4">
        <v>2</v>
      </c>
      <c r="I35" s="4">
        <v>2</v>
      </c>
      <c r="J35" s="4"/>
      <c r="K35" s="4"/>
      <c r="L35" s="4">
        <v>2</v>
      </c>
      <c r="M35" s="4">
        <v>2</v>
      </c>
      <c r="N35" s="4"/>
      <c r="O35" s="4"/>
      <c r="P35" s="4">
        <f t="shared" si="0"/>
        <v>8</v>
      </c>
      <c r="Q35" s="4">
        <f t="shared" si="1"/>
        <v>8</v>
      </c>
    </row>
    <row r="36" spans="1:17" x14ac:dyDescent="0.25">
      <c r="A36" s="4">
        <v>25</v>
      </c>
      <c r="B36" s="5"/>
      <c r="C36" s="5" t="s">
        <v>61</v>
      </c>
      <c r="D36" s="4">
        <v>2</v>
      </c>
      <c r="E36" s="4">
        <v>2</v>
      </c>
      <c r="F36" s="4">
        <v>2</v>
      </c>
      <c r="G36" s="4">
        <v>2</v>
      </c>
      <c r="H36" s="4"/>
      <c r="I36" s="4"/>
      <c r="J36" s="4"/>
      <c r="K36" s="4"/>
      <c r="L36" s="4"/>
      <c r="M36" s="4"/>
      <c r="N36" s="4"/>
      <c r="O36" s="4"/>
      <c r="P36" s="4">
        <f t="shared" si="0"/>
        <v>8</v>
      </c>
      <c r="Q36" s="4">
        <f t="shared" si="1"/>
        <v>8</v>
      </c>
    </row>
    <row r="37" spans="1:17" x14ac:dyDescent="0.25">
      <c r="A37" s="4">
        <v>26</v>
      </c>
      <c r="B37" s="5" t="s">
        <v>63</v>
      </c>
      <c r="C37" s="5" t="s">
        <v>64</v>
      </c>
      <c r="D37" s="4"/>
      <c r="E37" s="4"/>
      <c r="F37" s="4"/>
      <c r="G37" s="4"/>
      <c r="H37" s="4">
        <v>3</v>
      </c>
      <c r="I37" s="4">
        <v>3</v>
      </c>
      <c r="J37" s="4">
        <v>3</v>
      </c>
      <c r="K37" s="4">
        <v>3</v>
      </c>
      <c r="L37" s="4">
        <v>3</v>
      </c>
      <c r="M37" s="4">
        <v>3</v>
      </c>
      <c r="N37" s="4">
        <v>3</v>
      </c>
      <c r="O37" s="4">
        <v>3</v>
      </c>
      <c r="P37" s="4">
        <f t="shared" si="0"/>
        <v>24</v>
      </c>
      <c r="Q37" s="4">
        <f t="shared" si="1"/>
        <v>24</v>
      </c>
    </row>
    <row r="38" spans="1:17" x14ac:dyDescent="0.25">
      <c r="A38" s="4">
        <v>27</v>
      </c>
      <c r="B38" s="5" t="s">
        <v>65</v>
      </c>
      <c r="C38" s="5" t="s">
        <v>64</v>
      </c>
      <c r="D38" s="4">
        <v>3</v>
      </c>
      <c r="E38" s="4"/>
      <c r="F38" s="4"/>
      <c r="G38" s="4">
        <v>3</v>
      </c>
      <c r="H38" s="4"/>
      <c r="I38" s="4"/>
      <c r="J38" s="4"/>
      <c r="K38" s="4"/>
      <c r="L38" s="4"/>
      <c r="M38" s="4"/>
      <c r="N38" s="4"/>
      <c r="O38" s="4"/>
      <c r="P38" s="4">
        <f t="shared" si="0"/>
        <v>6</v>
      </c>
      <c r="Q38" s="4">
        <f t="shared" si="1"/>
        <v>6</v>
      </c>
    </row>
    <row r="39" spans="1:17" x14ac:dyDescent="0.25">
      <c r="A39" s="4">
        <v>28</v>
      </c>
      <c r="B39" s="5" t="s">
        <v>66</v>
      </c>
      <c r="C39" s="5" t="s">
        <v>67</v>
      </c>
      <c r="D39" s="4"/>
      <c r="E39" s="4"/>
      <c r="F39" s="4"/>
      <c r="G39" s="4"/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f t="shared" si="0"/>
        <v>24</v>
      </c>
      <c r="Q39" s="4">
        <f t="shared" si="1"/>
        <v>24</v>
      </c>
    </row>
    <row r="40" spans="1:17" x14ac:dyDescent="0.25">
      <c r="A40" s="4">
        <v>29</v>
      </c>
      <c r="B40" s="5" t="s">
        <v>68</v>
      </c>
      <c r="C40" s="5" t="s">
        <v>67</v>
      </c>
      <c r="D40" s="4"/>
      <c r="E40" s="4"/>
      <c r="F40" s="4">
        <v>3</v>
      </c>
      <c r="G40" s="4">
        <v>3</v>
      </c>
      <c r="H40" s="4"/>
      <c r="I40" s="4"/>
      <c r="J40" s="4"/>
      <c r="K40" s="4"/>
      <c r="L40" s="4"/>
      <c r="M40" s="4"/>
      <c r="N40" s="4"/>
      <c r="O40" s="4"/>
      <c r="P40" s="4">
        <f t="shared" si="0"/>
        <v>6</v>
      </c>
      <c r="Q40" s="4">
        <f t="shared" si="1"/>
        <v>6</v>
      </c>
    </row>
    <row r="41" spans="1:17" x14ac:dyDescent="0.25">
      <c r="A41" s="4">
        <v>30</v>
      </c>
      <c r="B41" s="5" t="s">
        <v>69</v>
      </c>
      <c r="C41" s="5" t="s">
        <v>67</v>
      </c>
      <c r="D41" s="4">
        <v>3</v>
      </c>
      <c r="E41" s="4">
        <v>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f t="shared" si="0"/>
        <v>6</v>
      </c>
      <c r="Q41" s="4">
        <f t="shared" si="1"/>
        <v>6</v>
      </c>
    </row>
    <row r="42" spans="1:17" x14ac:dyDescent="0.25">
      <c r="A42" s="4">
        <v>31</v>
      </c>
      <c r="B42" s="5" t="s">
        <v>70</v>
      </c>
      <c r="C42" s="5" t="s">
        <v>71</v>
      </c>
      <c r="D42" s="4"/>
      <c r="E42" s="4"/>
      <c r="F42" s="4"/>
      <c r="G42" s="4"/>
      <c r="H42" s="4">
        <v>3</v>
      </c>
      <c r="I42" s="4">
        <v>3</v>
      </c>
      <c r="J42" s="4">
        <v>3</v>
      </c>
      <c r="K42" s="4">
        <v>3</v>
      </c>
      <c r="L42" s="4">
        <v>3</v>
      </c>
      <c r="M42" s="4"/>
      <c r="N42" s="4">
        <v>3</v>
      </c>
      <c r="O42" s="4">
        <v>3</v>
      </c>
      <c r="P42" s="4">
        <f t="shared" si="0"/>
        <v>21</v>
      </c>
      <c r="Q42" s="4">
        <f t="shared" si="1"/>
        <v>21</v>
      </c>
    </row>
    <row r="43" spans="1:17" x14ac:dyDescent="0.25">
      <c r="A43" s="4">
        <v>32</v>
      </c>
      <c r="B43" s="5" t="s">
        <v>72</v>
      </c>
      <c r="C43" s="5" t="s">
        <v>73</v>
      </c>
      <c r="D43" s="4"/>
      <c r="E43" s="4"/>
      <c r="F43" s="4"/>
      <c r="G43" s="4"/>
      <c r="H43" s="4">
        <v>2</v>
      </c>
      <c r="I43" s="4">
        <v>2</v>
      </c>
      <c r="J43" s="4">
        <v>2</v>
      </c>
      <c r="K43" s="4">
        <v>2</v>
      </c>
      <c r="L43" s="4">
        <v>2</v>
      </c>
      <c r="M43" s="4">
        <v>2</v>
      </c>
      <c r="N43" s="4">
        <v>2</v>
      </c>
      <c r="O43" s="4">
        <v>2</v>
      </c>
      <c r="P43" s="4">
        <f t="shared" si="0"/>
        <v>16</v>
      </c>
      <c r="Q43" s="4">
        <f t="shared" si="1"/>
        <v>16</v>
      </c>
    </row>
    <row r="44" spans="1:17" x14ac:dyDescent="0.25">
      <c r="A44" s="4">
        <v>33</v>
      </c>
      <c r="B44" s="5" t="s">
        <v>74</v>
      </c>
      <c r="C44" s="5" t="s">
        <v>75</v>
      </c>
      <c r="D44" s="4">
        <v>2</v>
      </c>
      <c r="E44" s="4">
        <v>2</v>
      </c>
      <c r="F44" s="4">
        <v>2</v>
      </c>
      <c r="G44" s="4">
        <v>2</v>
      </c>
      <c r="H44" s="4"/>
      <c r="I44" s="4"/>
      <c r="J44" s="4"/>
      <c r="K44" s="4"/>
      <c r="L44" s="4"/>
      <c r="M44" s="4"/>
      <c r="N44" s="4"/>
      <c r="O44" s="4"/>
      <c r="P44" s="4">
        <f t="shared" si="0"/>
        <v>8</v>
      </c>
      <c r="Q44" s="4">
        <f t="shared" si="1"/>
        <v>8</v>
      </c>
    </row>
    <row r="45" spans="1:17" x14ac:dyDescent="0.25">
      <c r="A45" s="4">
        <v>34</v>
      </c>
      <c r="B45" s="5" t="s">
        <v>76</v>
      </c>
      <c r="C45" s="5" t="s">
        <v>77</v>
      </c>
      <c r="D45" s="4"/>
      <c r="E45" s="4"/>
      <c r="F45" s="4"/>
      <c r="G45" s="4"/>
      <c r="H45" s="4"/>
      <c r="I45" s="4"/>
      <c r="J45" s="4"/>
      <c r="K45" s="4"/>
      <c r="L45" s="4">
        <v>1</v>
      </c>
      <c r="M45" s="4">
        <v>1</v>
      </c>
      <c r="N45" s="4">
        <v>1</v>
      </c>
      <c r="O45" s="4">
        <v>1</v>
      </c>
      <c r="P45" s="4">
        <f t="shared" si="0"/>
        <v>4</v>
      </c>
      <c r="Q45" s="4">
        <f t="shared" si="1"/>
        <v>4</v>
      </c>
    </row>
    <row r="46" spans="1:17" x14ac:dyDescent="0.25">
      <c r="A46" s="4">
        <v>35</v>
      </c>
      <c r="B46" s="5" t="s">
        <v>78</v>
      </c>
      <c r="C46" s="5" t="s">
        <v>77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/>
      <c r="M46" s="4"/>
      <c r="N46" s="4"/>
      <c r="O46" s="4"/>
      <c r="P46" s="4">
        <f t="shared" si="0"/>
        <v>8</v>
      </c>
      <c r="Q46" s="4">
        <f t="shared" si="1"/>
        <v>8</v>
      </c>
    </row>
    <row r="47" spans="1:17" x14ac:dyDescent="0.25">
      <c r="A47" s="4"/>
      <c r="B47" s="5" t="s">
        <v>78</v>
      </c>
      <c r="C47" s="5" t="s">
        <v>71</v>
      </c>
      <c r="D47" s="4">
        <v>3</v>
      </c>
      <c r="E47" s="4">
        <v>3</v>
      </c>
      <c r="F47" s="4">
        <v>3</v>
      </c>
      <c r="G47" s="4">
        <v>3</v>
      </c>
      <c r="H47" s="4"/>
      <c r="I47" s="4"/>
      <c r="J47" s="4"/>
      <c r="K47" s="4"/>
      <c r="L47" s="4"/>
      <c r="M47" s="4">
        <v>3</v>
      </c>
      <c r="N47" s="4"/>
      <c r="O47" s="4"/>
      <c r="P47" s="4">
        <f t="shared" si="0"/>
        <v>15</v>
      </c>
      <c r="Q47" s="4">
        <f t="shared" si="1"/>
        <v>15</v>
      </c>
    </row>
    <row r="48" spans="1:17" x14ac:dyDescent="0.25">
      <c r="A48" s="4">
        <v>36</v>
      </c>
      <c r="B48" s="5" t="s">
        <v>79</v>
      </c>
      <c r="C48" s="5" t="s">
        <v>80</v>
      </c>
      <c r="D48" s="4">
        <v>2</v>
      </c>
      <c r="E48" s="4">
        <v>2</v>
      </c>
      <c r="F48" s="4">
        <v>2</v>
      </c>
      <c r="G48" s="4">
        <v>2</v>
      </c>
      <c r="H48" s="4"/>
      <c r="I48" s="4"/>
      <c r="J48" s="4"/>
      <c r="K48" s="4"/>
      <c r="L48" s="4"/>
      <c r="M48" s="4"/>
      <c r="N48" s="4"/>
      <c r="O48" s="4"/>
      <c r="P48" s="4">
        <f t="shared" si="0"/>
        <v>8</v>
      </c>
      <c r="Q48" s="3">
        <f>P48+P49</f>
        <v>14</v>
      </c>
    </row>
    <row r="49" spans="1:17" x14ac:dyDescent="0.25">
      <c r="A49" s="4"/>
      <c r="B49" s="5" t="s">
        <v>79</v>
      </c>
      <c r="C49" s="5" t="s">
        <v>64</v>
      </c>
      <c r="D49" s="4"/>
      <c r="E49" s="4">
        <v>3</v>
      </c>
      <c r="F49" s="4">
        <v>3</v>
      </c>
      <c r="G49" s="4"/>
      <c r="H49" s="4"/>
      <c r="I49" s="4"/>
      <c r="J49" s="4"/>
      <c r="K49" s="4"/>
      <c r="L49" s="4"/>
      <c r="M49" s="4"/>
      <c r="N49" s="4"/>
      <c r="O49" s="4"/>
      <c r="P49" s="4">
        <f t="shared" si="0"/>
        <v>6</v>
      </c>
      <c r="Q49" s="3"/>
    </row>
    <row r="50" spans="1:17" x14ac:dyDescent="0.25">
      <c r="A50" s="4">
        <v>37</v>
      </c>
      <c r="B50" s="5" t="s">
        <v>81</v>
      </c>
      <c r="C50" s="5" t="s">
        <v>80</v>
      </c>
      <c r="D50" s="4"/>
      <c r="E50" s="4"/>
      <c r="F50" s="4"/>
      <c r="G50" s="4"/>
      <c r="H50" s="4"/>
      <c r="I50" s="4">
        <v>2</v>
      </c>
      <c r="J50" s="4">
        <v>2</v>
      </c>
      <c r="K50" s="4">
        <v>2</v>
      </c>
      <c r="L50" s="4"/>
      <c r="M50" s="4"/>
      <c r="N50" s="4"/>
      <c r="O50" s="4"/>
      <c r="P50" s="4">
        <f t="shared" si="0"/>
        <v>6</v>
      </c>
      <c r="Q50" s="4">
        <f t="shared" si="1"/>
        <v>6</v>
      </c>
    </row>
    <row r="51" spans="1:17" x14ac:dyDescent="0.25">
      <c r="A51" s="4">
        <v>38</v>
      </c>
      <c r="B51" s="5" t="s">
        <v>82</v>
      </c>
      <c r="C51" s="5" t="s">
        <v>80</v>
      </c>
      <c r="D51" s="4"/>
      <c r="E51" s="4"/>
      <c r="F51" s="4"/>
      <c r="G51" s="4"/>
      <c r="H51" s="4">
        <v>2</v>
      </c>
      <c r="I51" s="4"/>
      <c r="J51" s="4"/>
      <c r="K51" s="4"/>
      <c r="L51" s="4"/>
      <c r="M51" s="4"/>
      <c r="N51" s="4"/>
      <c r="O51" s="4"/>
      <c r="P51" s="4">
        <f>SUM(D51:O51)</f>
        <v>2</v>
      </c>
      <c r="Q51" s="4">
        <f t="shared" si="1"/>
        <v>2</v>
      </c>
    </row>
    <row r="52" spans="1:17" x14ac:dyDescent="0.25">
      <c r="A52" s="4">
        <v>39</v>
      </c>
      <c r="B52" s="5" t="s">
        <v>83</v>
      </c>
      <c r="C52" s="5" t="s">
        <v>80</v>
      </c>
      <c r="D52" s="4"/>
      <c r="E52" s="4"/>
      <c r="F52" s="4"/>
      <c r="G52" s="4"/>
      <c r="H52" s="4"/>
      <c r="I52" s="4"/>
      <c r="J52" s="4"/>
      <c r="K52" s="4"/>
      <c r="L52" s="4">
        <v>2</v>
      </c>
      <c r="M52" s="4">
        <v>2</v>
      </c>
      <c r="N52" s="4">
        <v>2</v>
      </c>
      <c r="O52" s="4">
        <v>2</v>
      </c>
      <c r="P52" s="4">
        <f t="shared" si="0"/>
        <v>8</v>
      </c>
      <c r="Q52" s="4">
        <f t="shared" si="1"/>
        <v>8</v>
      </c>
    </row>
    <row r="53" spans="1:17" x14ac:dyDescent="0.25">
      <c r="A53" s="4">
        <v>40</v>
      </c>
      <c r="B53" s="5" t="s">
        <v>84</v>
      </c>
      <c r="C53" s="5" t="s">
        <v>44</v>
      </c>
      <c r="D53" s="4">
        <v>2</v>
      </c>
      <c r="E53" s="4">
        <v>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f t="shared" si="0"/>
        <v>4</v>
      </c>
      <c r="Q53" s="4">
        <f t="shared" si="1"/>
        <v>4</v>
      </c>
    </row>
    <row r="54" spans="1:17" x14ac:dyDescent="0.25">
      <c r="A54" s="4"/>
      <c r="B54" s="5" t="s">
        <v>21</v>
      </c>
      <c r="C54" s="5"/>
      <c r="D54" s="4">
        <f t="shared" ref="D54:N54" si="2">SUM(D7:D53)</f>
        <v>44</v>
      </c>
      <c r="E54" s="4">
        <f t="shared" si="2"/>
        <v>44</v>
      </c>
      <c r="F54" s="4">
        <f t="shared" si="2"/>
        <v>44</v>
      </c>
      <c r="G54" s="4">
        <f t="shared" si="2"/>
        <v>44</v>
      </c>
      <c r="H54" s="4">
        <f t="shared" si="2"/>
        <v>44</v>
      </c>
      <c r="I54" s="4">
        <f t="shared" si="2"/>
        <v>44</v>
      </c>
      <c r="J54" s="4">
        <f t="shared" si="2"/>
        <v>44</v>
      </c>
      <c r="K54" s="4">
        <f t="shared" si="2"/>
        <v>44</v>
      </c>
      <c r="L54" s="4">
        <f t="shared" si="2"/>
        <v>44</v>
      </c>
      <c r="M54" s="4">
        <f t="shared" si="2"/>
        <v>44</v>
      </c>
      <c r="N54" s="4">
        <f t="shared" si="2"/>
        <v>44</v>
      </c>
      <c r="O54" s="4">
        <f>SUM(O7:O53)</f>
        <v>44</v>
      </c>
      <c r="P54" s="4">
        <f t="shared" ref="P54:Q54" si="3">SUM(P7:P53)</f>
        <v>528</v>
      </c>
      <c r="Q54" s="4">
        <f t="shared" si="3"/>
        <v>528</v>
      </c>
    </row>
  </sheetData>
  <mergeCells count="17">
    <mergeCell ref="C5:C6"/>
    <mergeCell ref="Q8:Q9"/>
    <mergeCell ref="Q13:Q15"/>
    <mergeCell ref="Q17:Q18"/>
    <mergeCell ref="Q27:Q28"/>
    <mergeCell ref="Q48:Q49"/>
    <mergeCell ref="Q4:Q6"/>
    <mergeCell ref="A1:Q1"/>
    <mergeCell ref="A2:Q2"/>
    <mergeCell ref="A3:Q3"/>
    <mergeCell ref="D4:G4"/>
    <mergeCell ref="H4:K4"/>
    <mergeCell ref="L4:O4"/>
    <mergeCell ref="P4:P6"/>
    <mergeCell ref="D6:G6"/>
    <mergeCell ref="A5:A6"/>
    <mergeCell ref="B5:B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1EFE-20F5-42B6-9BBF-642DB581D20E}">
  <dimension ref="A1:Q54"/>
  <sheetViews>
    <sheetView zoomScale="66" workbookViewId="0">
      <selection activeCell="Q4" sqref="Q4:Q6"/>
    </sheetView>
  </sheetViews>
  <sheetFormatPr defaultRowHeight="15" x14ac:dyDescent="0.25"/>
  <cols>
    <col min="1" max="1" width="5.140625" style="1" bestFit="1" customWidth="1"/>
    <col min="2" max="2" width="37.42578125" style="2" bestFit="1" customWidth="1"/>
    <col min="3" max="3" width="26.7109375" style="2" customWidth="1"/>
    <col min="4" max="4" width="4.85546875" style="1" bestFit="1" customWidth="1"/>
    <col min="5" max="6" width="5.28515625" style="1" bestFit="1" customWidth="1"/>
    <col min="7" max="7" width="5.28515625" style="1" customWidth="1"/>
    <col min="8" max="8" width="5.5703125" style="1" bestFit="1" customWidth="1"/>
    <col min="9" max="11" width="11" style="1" bestFit="1" customWidth="1"/>
    <col min="12" max="12" width="6.140625" style="1" bestFit="1" customWidth="1"/>
    <col min="13" max="15" width="11" style="1" bestFit="1" customWidth="1"/>
    <col min="16" max="16" width="6.42578125" style="1" bestFit="1" customWidth="1"/>
    <col min="17" max="17" width="10.140625" style="1" bestFit="1" customWidth="1"/>
    <col min="18" max="16384" width="9.140625" style="1"/>
  </cols>
  <sheetData>
    <row r="1" spans="1:1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4"/>
      <c r="B4" s="5"/>
      <c r="C4" s="5"/>
      <c r="D4" s="3" t="s">
        <v>3</v>
      </c>
      <c r="E4" s="3"/>
      <c r="F4" s="3"/>
      <c r="G4" s="3"/>
      <c r="H4" s="3" t="s">
        <v>4</v>
      </c>
      <c r="I4" s="3"/>
      <c r="J4" s="3"/>
      <c r="K4" s="3"/>
      <c r="L4" s="3" t="s">
        <v>5</v>
      </c>
      <c r="M4" s="3"/>
      <c r="N4" s="3"/>
      <c r="O4" s="3"/>
      <c r="P4" s="9" t="s">
        <v>21</v>
      </c>
      <c r="Q4" s="4"/>
    </row>
    <row r="5" spans="1:17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10"/>
      <c r="Q5" s="4" t="s">
        <v>22</v>
      </c>
    </row>
    <row r="6" spans="1:17" x14ac:dyDescent="0.25">
      <c r="A6" s="4"/>
      <c r="B6" s="5"/>
      <c r="C6" s="5"/>
      <c r="D6" s="6" t="s">
        <v>23</v>
      </c>
      <c r="E6" s="7"/>
      <c r="F6" s="7"/>
      <c r="G6" s="8"/>
      <c r="H6" s="4" t="s">
        <v>24</v>
      </c>
      <c r="I6" s="4" t="s">
        <v>25</v>
      </c>
      <c r="J6" s="4" t="s">
        <v>25</v>
      </c>
      <c r="K6" s="4" t="s">
        <v>25</v>
      </c>
      <c r="L6" s="4" t="s">
        <v>24</v>
      </c>
      <c r="M6" s="4" t="s">
        <v>25</v>
      </c>
      <c r="N6" s="4" t="s">
        <v>25</v>
      </c>
      <c r="O6" s="4" t="s">
        <v>25</v>
      </c>
      <c r="P6" s="11"/>
      <c r="Q6" s="4"/>
    </row>
    <row r="7" spans="1:17" x14ac:dyDescent="0.25">
      <c r="A7" s="4">
        <v>1</v>
      </c>
      <c r="B7" s="5" t="s">
        <v>26</v>
      </c>
      <c r="C7" s="5" t="s">
        <v>27</v>
      </c>
      <c r="D7" s="4"/>
      <c r="E7" s="4"/>
      <c r="F7" s="4"/>
      <c r="G7" s="4"/>
      <c r="H7" s="4"/>
      <c r="I7" s="4"/>
      <c r="J7" s="4">
        <v>3</v>
      </c>
      <c r="K7" s="4">
        <v>3</v>
      </c>
      <c r="L7" s="4">
        <v>3</v>
      </c>
      <c r="M7" s="4">
        <v>3</v>
      </c>
      <c r="N7" s="4">
        <v>3</v>
      </c>
      <c r="O7" s="4">
        <v>3</v>
      </c>
      <c r="P7" s="4">
        <f>SUM(D7:O7)</f>
        <v>18</v>
      </c>
      <c r="Q7" s="4">
        <f>SUM(D7:O7)</f>
        <v>18</v>
      </c>
    </row>
    <row r="8" spans="1:17" x14ac:dyDescent="0.25">
      <c r="A8" s="4">
        <v>2</v>
      </c>
      <c r="B8" s="5" t="s">
        <v>28</v>
      </c>
      <c r="C8" s="5" t="s">
        <v>27</v>
      </c>
      <c r="D8" s="4"/>
      <c r="E8" s="4"/>
      <c r="F8" s="4"/>
      <c r="G8" s="4"/>
      <c r="H8" s="4">
        <v>3</v>
      </c>
      <c r="I8" s="4">
        <v>3</v>
      </c>
      <c r="J8" s="4"/>
      <c r="K8" s="4"/>
      <c r="L8" s="4"/>
      <c r="M8" s="4"/>
      <c r="N8" s="4"/>
      <c r="O8" s="4"/>
      <c r="P8" s="4">
        <f t="shared" ref="P8:P53" si="0">SUM(D8:O8)</f>
        <v>6</v>
      </c>
      <c r="Q8" s="3">
        <f>P9+P8</f>
        <v>14</v>
      </c>
    </row>
    <row r="9" spans="1:17" x14ac:dyDescent="0.25">
      <c r="A9" s="4"/>
      <c r="B9" s="5" t="s">
        <v>28</v>
      </c>
      <c r="C9" s="5" t="s">
        <v>29</v>
      </c>
      <c r="D9" s="4"/>
      <c r="E9" s="4"/>
      <c r="F9" s="4"/>
      <c r="G9" s="4"/>
      <c r="H9" s="4">
        <v>2</v>
      </c>
      <c r="I9" s="4">
        <v>2</v>
      </c>
      <c r="J9" s="4"/>
      <c r="K9" s="4"/>
      <c r="L9" s="4">
        <v>2</v>
      </c>
      <c r="M9" s="4">
        <v>2</v>
      </c>
      <c r="N9" s="4"/>
      <c r="O9" s="4"/>
      <c r="P9" s="4">
        <f t="shared" si="0"/>
        <v>8</v>
      </c>
      <c r="Q9" s="3"/>
    </row>
    <row r="10" spans="1:17" x14ac:dyDescent="0.25">
      <c r="A10" s="4">
        <v>3</v>
      </c>
      <c r="B10" s="5" t="s">
        <v>30</v>
      </c>
      <c r="C10" s="5" t="s">
        <v>27</v>
      </c>
      <c r="D10" s="4">
        <v>3</v>
      </c>
      <c r="E10" s="4">
        <v>3</v>
      </c>
      <c r="F10" s="4">
        <v>3</v>
      </c>
      <c r="G10" s="4">
        <v>3</v>
      </c>
      <c r="H10" s="4"/>
      <c r="I10" s="4"/>
      <c r="J10" s="4"/>
      <c r="K10" s="4"/>
      <c r="L10" s="4"/>
      <c r="M10" s="4"/>
      <c r="N10" s="4"/>
      <c r="O10" s="4"/>
      <c r="P10" s="4">
        <f t="shared" si="0"/>
        <v>12</v>
      </c>
      <c r="Q10" s="4">
        <f t="shared" ref="Q10:Q53" si="1">SUM(D10:O10)</f>
        <v>12</v>
      </c>
    </row>
    <row r="11" spans="1:17" x14ac:dyDescent="0.25">
      <c r="A11" s="4">
        <v>4</v>
      </c>
      <c r="B11" s="5" t="s">
        <v>31</v>
      </c>
      <c r="C11" s="5" t="s">
        <v>32</v>
      </c>
      <c r="D11" s="4"/>
      <c r="E11" s="4"/>
      <c r="F11" s="4"/>
      <c r="G11" s="4"/>
      <c r="H11" s="4">
        <v>4</v>
      </c>
      <c r="I11" s="4">
        <v>4</v>
      </c>
      <c r="J11" s="4">
        <v>4</v>
      </c>
      <c r="K11" s="4">
        <v>4</v>
      </c>
      <c r="L11" s="4"/>
      <c r="M11" s="4"/>
      <c r="N11" s="4">
        <v>4</v>
      </c>
      <c r="O11" s="4">
        <v>4</v>
      </c>
      <c r="P11" s="4">
        <f t="shared" si="0"/>
        <v>24</v>
      </c>
      <c r="Q11" s="4">
        <f t="shared" si="1"/>
        <v>24</v>
      </c>
    </row>
    <row r="12" spans="1:17" x14ac:dyDescent="0.25">
      <c r="A12" s="4">
        <v>5</v>
      </c>
      <c r="B12" s="5" t="s">
        <v>33</v>
      </c>
      <c r="C12" s="5" t="s">
        <v>32</v>
      </c>
      <c r="D12" s="4">
        <v>4</v>
      </c>
      <c r="E12" s="4">
        <v>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 t="shared" si="0"/>
        <v>8</v>
      </c>
      <c r="Q12" s="4">
        <f t="shared" si="1"/>
        <v>8</v>
      </c>
    </row>
    <row r="13" spans="1:17" x14ac:dyDescent="0.25">
      <c r="A13" s="4">
        <v>6</v>
      </c>
      <c r="B13" s="5" t="s">
        <v>34</v>
      </c>
      <c r="C13" s="5" t="s">
        <v>35</v>
      </c>
      <c r="D13" s="4"/>
      <c r="E13" s="4"/>
      <c r="F13" s="4"/>
      <c r="G13" s="4"/>
      <c r="H13" s="4"/>
      <c r="I13" s="4"/>
      <c r="J13" s="4">
        <v>3</v>
      </c>
      <c r="K13" s="4">
        <v>3</v>
      </c>
      <c r="L13" s="4"/>
      <c r="M13" s="4"/>
      <c r="N13" s="4">
        <v>3</v>
      </c>
      <c r="O13" s="4">
        <v>3</v>
      </c>
      <c r="P13" s="4">
        <f t="shared" si="0"/>
        <v>12</v>
      </c>
      <c r="Q13" s="3">
        <f>P13+P14+P15</f>
        <v>26</v>
      </c>
    </row>
    <row r="14" spans="1:17" x14ac:dyDescent="0.25">
      <c r="A14" s="4"/>
      <c r="B14" s="5" t="s">
        <v>34</v>
      </c>
      <c r="C14" s="5" t="s">
        <v>32</v>
      </c>
      <c r="D14" s="4"/>
      <c r="E14" s="4"/>
      <c r="F14" s="4"/>
      <c r="G14" s="4"/>
      <c r="H14" s="4"/>
      <c r="I14" s="4"/>
      <c r="J14" s="4"/>
      <c r="K14" s="4"/>
      <c r="L14" s="4">
        <v>4</v>
      </c>
      <c r="M14" s="4">
        <v>4</v>
      </c>
      <c r="N14" s="4"/>
      <c r="O14" s="4"/>
      <c r="P14" s="4">
        <f t="shared" si="0"/>
        <v>8</v>
      </c>
      <c r="Q14" s="3"/>
    </row>
    <row r="15" spans="1:17" x14ac:dyDescent="0.25">
      <c r="A15" s="4"/>
      <c r="B15" s="5" t="s">
        <v>34</v>
      </c>
      <c r="C15" s="5" t="s">
        <v>36</v>
      </c>
      <c r="D15" s="4">
        <v>3</v>
      </c>
      <c r="E15" s="4">
        <v>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 t="shared" si="0"/>
        <v>6</v>
      </c>
      <c r="Q15" s="3"/>
    </row>
    <row r="16" spans="1:17" x14ac:dyDescent="0.25">
      <c r="A16" s="4">
        <v>7</v>
      </c>
      <c r="B16" s="5" t="s">
        <v>37</v>
      </c>
      <c r="C16" s="5" t="s">
        <v>36</v>
      </c>
      <c r="D16" s="4"/>
      <c r="E16" s="4"/>
      <c r="F16" s="4">
        <v>3</v>
      </c>
      <c r="G16" s="4">
        <v>3</v>
      </c>
      <c r="H16" s="4"/>
      <c r="I16" s="4"/>
      <c r="J16" s="4"/>
      <c r="K16" s="4"/>
      <c r="L16" s="4"/>
      <c r="M16" s="4"/>
      <c r="N16" s="4"/>
      <c r="O16" s="4"/>
      <c r="P16" s="4">
        <f t="shared" si="0"/>
        <v>6</v>
      </c>
      <c r="Q16" s="4">
        <f t="shared" si="1"/>
        <v>6</v>
      </c>
    </row>
    <row r="17" spans="1:17" x14ac:dyDescent="0.25">
      <c r="A17" s="4">
        <v>8</v>
      </c>
      <c r="B17" s="5" t="s">
        <v>38</v>
      </c>
      <c r="C17" s="5" t="s">
        <v>36</v>
      </c>
      <c r="D17" s="4"/>
      <c r="E17" s="4"/>
      <c r="F17" s="4"/>
      <c r="G17" s="4"/>
      <c r="H17" s="4"/>
      <c r="I17" s="4"/>
      <c r="J17" s="4">
        <v>5</v>
      </c>
      <c r="K17" s="4">
        <v>5</v>
      </c>
      <c r="L17" s="4"/>
      <c r="M17" s="4"/>
      <c r="N17" s="4">
        <v>5</v>
      </c>
      <c r="O17" s="4">
        <v>5</v>
      </c>
      <c r="P17" s="4">
        <f t="shared" si="0"/>
        <v>20</v>
      </c>
      <c r="Q17" s="3">
        <f>P17+P18</f>
        <v>28</v>
      </c>
    </row>
    <row r="18" spans="1:17" x14ac:dyDescent="0.25">
      <c r="A18" s="4"/>
      <c r="B18" s="5" t="s">
        <v>38</v>
      </c>
      <c r="C18" s="5" t="s">
        <v>32</v>
      </c>
      <c r="D18" s="4"/>
      <c r="E18" s="4"/>
      <c r="F18" s="4">
        <v>4</v>
      </c>
      <c r="G18" s="4">
        <v>4</v>
      </c>
      <c r="H18" s="4"/>
      <c r="I18" s="4"/>
      <c r="J18" s="4"/>
      <c r="K18" s="4"/>
      <c r="L18" s="4"/>
      <c r="M18" s="4"/>
      <c r="N18" s="4"/>
      <c r="O18" s="4"/>
      <c r="P18" s="4">
        <f t="shared" si="0"/>
        <v>8</v>
      </c>
      <c r="Q18" s="3"/>
    </row>
    <row r="19" spans="1:17" x14ac:dyDescent="0.25">
      <c r="A19" s="4">
        <v>9</v>
      </c>
      <c r="B19" s="5" t="s">
        <v>39</v>
      </c>
      <c r="C19" s="5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f t="shared" si="0"/>
        <v>0</v>
      </c>
      <c r="Q19" s="4">
        <f t="shared" si="1"/>
        <v>0</v>
      </c>
    </row>
    <row r="20" spans="1:17" x14ac:dyDescent="0.25">
      <c r="A20" s="4">
        <v>10</v>
      </c>
      <c r="B20" s="5" t="s">
        <v>40</v>
      </c>
      <c r="C20" s="5" t="s">
        <v>41</v>
      </c>
      <c r="D20" s="4">
        <v>2</v>
      </c>
      <c r="E20" s="4">
        <v>2</v>
      </c>
      <c r="F20" s="4">
        <v>2</v>
      </c>
      <c r="G20" s="4">
        <v>2</v>
      </c>
      <c r="H20" s="4"/>
      <c r="I20" s="4"/>
      <c r="J20" s="4"/>
      <c r="K20" s="4"/>
      <c r="L20" s="4"/>
      <c r="M20" s="4"/>
      <c r="N20" s="4">
        <v>3</v>
      </c>
      <c r="O20" s="4">
        <v>3</v>
      </c>
      <c r="P20" s="4">
        <f t="shared" si="0"/>
        <v>14</v>
      </c>
      <c r="Q20" s="4">
        <f t="shared" si="1"/>
        <v>14</v>
      </c>
    </row>
    <row r="21" spans="1:17" x14ac:dyDescent="0.25">
      <c r="A21" s="4">
        <v>11</v>
      </c>
      <c r="B21" s="5" t="s">
        <v>42</v>
      </c>
      <c r="C21" s="5" t="s">
        <v>41</v>
      </c>
      <c r="D21" s="4"/>
      <c r="E21" s="4"/>
      <c r="F21" s="4"/>
      <c r="G21" s="4"/>
      <c r="H21" s="4"/>
      <c r="I21" s="4"/>
      <c r="J21" s="4">
        <v>3</v>
      </c>
      <c r="K21" s="4">
        <v>3</v>
      </c>
      <c r="L21" s="4"/>
      <c r="M21" s="4"/>
      <c r="N21" s="4"/>
      <c r="O21" s="4"/>
      <c r="P21" s="4">
        <f t="shared" si="0"/>
        <v>6</v>
      </c>
      <c r="Q21" s="4">
        <f t="shared" si="1"/>
        <v>6</v>
      </c>
    </row>
    <row r="22" spans="1:17" x14ac:dyDescent="0.25">
      <c r="A22" s="4">
        <v>12</v>
      </c>
      <c r="B22" s="5" t="s">
        <v>43</v>
      </c>
      <c r="C22" s="5" t="s">
        <v>44</v>
      </c>
      <c r="D22" s="4"/>
      <c r="E22" s="4"/>
      <c r="F22" s="4"/>
      <c r="G22" s="4"/>
      <c r="H22" s="4">
        <v>3</v>
      </c>
      <c r="I22" s="4">
        <v>3</v>
      </c>
      <c r="J22" s="4">
        <v>3</v>
      </c>
      <c r="K22" s="4">
        <v>3</v>
      </c>
      <c r="L22" s="4">
        <v>3</v>
      </c>
      <c r="M22" s="4">
        <v>3</v>
      </c>
      <c r="N22" s="4">
        <v>3</v>
      </c>
      <c r="O22" s="4">
        <v>3</v>
      </c>
      <c r="P22" s="4">
        <f t="shared" si="0"/>
        <v>24</v>
      </c>
      <c r="Q22" s="4">
        <f t="shared" si="1"/>
        <v>24</v>
      </c>
    </row>
    <row r="23" spans="1:17" x14ac:dyDescent="0.25">
      <c r="A23" s="4">
        <v>13</v>
      </c>
      <c r="B23" s="5" t="s">
        <v>45</v>
      </c>
      <c r="C23" s="5" t="s">
        <v>44</v>
      </c>
      <c r="D23" s="4"/>
      <c r="E23" s="4"/>
      <c r="F23" s="4">
        <v>2</v>
      </c>
      <c r="G23" s="4">
        <v>2</v>
      </c>
      <c r="H23" s="4"/>
      <c r="I23" s="4"/>
      <c r="J23" s="4"/>
      <c r="K23" s="4"/>
      <c r="L23" s="4"/>
      <c r="M23" s="4"/>
      <c r="N23" s="4"/>
      <c r="O23" s="4"/>
      <c r="P23" s="4">
        <f t="shared" si="0"/>
        <v>4</v>
      </c>
      <c r="Q23" s="4">
        <f t="shared" si="1"/>
        <v>4</v>
      </c>
    </row>
    <row r="24" spans="1:17" x14ac:dyDescent="0.25">
      <c r="A24" s="4">
        <v>14</v>
      </c>
      <c r="B24" s="5" t="s">
        <v>46</v>
      </c>
      <c r="C24" s="5" t="s">
        <v>47</v>
      </c>
      <c r="D24" s="4">
        <v>3</v>
      </c>
      <c r="E24" s="4">
        <v>3</v>
      </c>
      <c r="F24" s="4">
        <v>3</v>
      </c>
      <c r="G24" s="4">
        <v>3</v>
      </c>
      <c r="H24" s="4"/>
      <c r="I24" s="4"/>
      <c r="J24" s="4"/>
      <c r="K24" s="4"/>
      <c r="L24" s="4"/>
      <c r="M24" s="4"/>
      <c r="N24" s="4">
        <v>5</v>
      </c>
      <c r="O24" s="4">
        <v>5</v>
      </c>
      <c r="P24" s="4">
        <f t="shared" si="0"/>
        <v>22</v>
      </c>
      <c r="Q24" s="4">
        <f t="shared" si="1"/>
        <v>22</v>
      </c>
    </row>
    <row r="25" spans="1:17" x14ac:dyDescent="0.25">
      <c r="A25" s="4">
        <v>15</v>
      </c>
      <c r="B25" s="5" t="s">
        <v>48</v>
      </c>
      <c r="C25" s="5" t="s">
        <v>47</v>
      </c>
      <c r="D25" s="4"/>
      <c r="E25" s="4"/>
      <c r="F25" s="4"/>
      <c r="G25" s="4"/>
      <c r="H25" s="4"/>
      <c r="I25" s="4"/>
      <c r="J25" s="4">
        <v>5</v>
      </c>
      <c r="K25" s="4">
        <v>5</v>
      </c>
      <c r="L25" s="4"/>
      <c r="M25" s="4"/>
      <c r="N25" s="4"/>
      <c r="O25" s="4"/>
      <c r="P25" s="4">
        <f t="shared" si="0"/>
        <v>10</v>
      </c>
      <c r="Q25" s="4">
        <f t="shared" si="1"/>
        <v>10</v>
      </c>
    </row>
    <row r="26" spans="1:17" x14ac:dyDescent="0.25">
      <c r="A26" s="4">
        <v>16</v>
      </c>
      <c r="B26" s="5" t="s">
        <v>49</v>
      </c>
      <c r="C26" s="5" t="s">
        <v>50</v>
      </c>
      <c r="D26" s="4">
        <v>2</v>
      </c>
      <c r="E26" s="4">
        <v>2</v>
      </c>
      <c r="F26" s="4"/>
      <c r="G26" s="4"/>
      <c r="H26" s="4">
        <v>2</v>
      </c>
      <c r="I26" s="4">
        <v>2</v>
      </c>
      <c r="J26" s="4">
        <v>2</v>
      </c>
      <c r="K26" s="4">
        <v>2</v>
      </c>
      <c r="L26" s="4"/>
      <c r="M26" s="4"/>
      <c r="N26" s="4"/>
      <c r="O26" s="4"/>
      <c r="P26" s="4">
        <f t="shared" si="0"/>
        <v>12</v>
      </c>
      <c r="Q26" s="4">
        <f t="shared" si="1"/>
        <v>12</v>
      </c>
    </row>
    <row r="27" spans="1:17" x14ac:dyDescent="0.25">
      <c r="A27" s="4">
        <v>17</v>
      </c>
      <c r="B27" s="5" t="s">
        <v>51</v>
      </c>
      <c r="C27" s="5" t="s">
        <v>50</v>
      </c>
      <c r="D27" s="4"/>
      <c r="E27" s="4"/>
      <c r="F27" s="4">
        <v>2</v>
      </c>
      <c r="G27" s="4">
        <v>2</v>
      </c>
      <c r="H27" s="4"/>
      <c r="I27" s="4"/>
      <c r="J27" s="4"/>
      <c r="K27" s="4"/>
      <c r="L27" s="4">
        <v>2</v>
      </c>
      <c r="M27" s="4">
        <v>2</v>
      </c>
      <c r="N27" s="4">
        <v>2</v>
      </c>
      <c r="O27" s="4">
        <v>2</v>
      </c>
      <c r="P27" s="4">
        <f t="shared" si="0"/>
        <v>12</v>
      </c>
      <c r="Q27" s="3">
        <f>P27+P28</f>
        <v>18</v>
      </c>
    </row>
    <row r="28" spans="1:17" x14ac:dyDescent="0.25">
      <c r="A28" s="4"/>
      <c r="B28" s="5" t="s">
        <v>51</v>
      </c>
      <c r="C28" s="5" t="s">
        <v>52</v>
      </c>
      <c r="D28" s="4">
        <v>3</v>
      </c>
      <c r="E28" s="4">
        <v>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f t="shared" si="0"/>
        <v>6</v>
      </c>
      <c r="Q28" s="3"/>
    </row>
    <row r="29" spans="1:17" x14ac:dyDescent="0.25">
      <c r="A29" s="4">
        <v>18</v>
      </c>
      <c r="B29" s="5" t="s">
        <v>53</v>
      </c>
      <c r="C29" s="5" t="s">
        <v>52</v>
      </c>
      <c r="D29" s="4"/>
      <c r="E29" s="4"/>
      <c r="F29" s="4">
        <v>3</v>
      </c>
      <c r="G29" s="4">
        <v>3</v>
      </c>
      <c r="H29" s="4">
        <v>5</v>
      </c>
      <c r="I29" s="4">
        <v>5</v>
      </c>
      <c r="J29" s="4"/>
      <c r="K29" s="4"/>
      <c r="L29" s="4"/>
      <c r="M29" s="4"/>
      <c r="N29" s="4"/>
      <c r="O29" s="4"/>
      <c r="P29" s="4">
        <f t="shared" si="0"/>
        <v>16</v>
      </c>
      <c r="Q29" s="4">
        <f t="shared" si="1"/>
        <v>16</v>
      </c>
    </row>
    <row r="30" spans="1:17" x14ac:dyDescent="0.25">
      <c r="A30" s="4">
        <v>19</v>
      </c>
      <c r="B30" s="5" t="s">
        <v>54</v>
      </c>
      <c r="C30" s="5" t="s">
        <v>52</v>
      </c>
      <c r="D30" s="4"/>
      <c r="E30" s="4"/>
      <c r="F30" s="4"/>
      <c r="G30" s="4"/>
      <c r="H30" s="4"/>
      <c r="I30" s="4"/>
      <c r="J30" s="4"/>
      <c r="K30" s="4"/>
      <c r="L30" s="4">
        <v>5</v>
      </c>
      <c r="M30" s="4">
        <v>5</v>
      </c>
      <c r="N30" s="4"/>
      <c r="O30" s="4"/>
      <c r="P30" s="4">
        <f t="shared" si="0"/>
        <v>10</v>
      </c>
      <c r="Q30" s="4">
        <f t="shared" si="1"/>
        <v>10</v>
      </c>
    </row>
    <row r="31" spans="1:17" x14ac:dyDescent="0.25">
      <c r="A31" s="4">
        <v>20</v>
      </c>
      <c r="B31" s="5" t="s">
        <v>55</v>
      </c>
      <c r="C31" s="5" t="s">
        <v>56</v>
      </c>
      <c r="D31" s="4">
        <v>3</v>
      </c>
      <c r="E31" s="4">
        <v>3</v>
      </c>
      <c r="F31" s="4">
        <v>3</v>
      </c>
      <c r="G31" s="4">
        <v>3</v>
      </c>
      <c r="H31" s="4">
        <v>5</v>
      </c>
      <c r="I31" s="4">
        <v>5</v>
      </c>
      <c r="J31" s="4"/>
      <c r="K31" s="4"/>
      <c r="L31" s="4">
        <v>5</v>
      </c>
      <c r="M31" s="4">
        <v>5</v>
      </c>
      <c r="N31" s="4"/>
      <c r="O31" s="4"/>
      <c r="P31" s="4">
        <f t="shared" si="0"/>
        <v>32</v>
      </c>
      <c r="Q31" s="4">
        <f t="shared" si="1"/>
        <v>32</v>
      </c>
    </row>
    <row r="32" spans="1:17" x14ac:dyDescent="0.25">
      <c r="A32" s="4">
        <v>21</v>
      </c>
      <c r="B32" s="5" t="s">
        <v>57</v>
      </c>
      <c r="C32" s="5" t="s">
        <v>58</v>
      </c>
      <c r="D32" s="4"/>
      <c r="E32" s="4"/>
      <c r="F32" s="4"/>
      <c r="G32" s="4"/>
      <c r="H32" s="4">
        <v>4</v>
      </c>
      <c r="I32" s="4">
        <v>4</v>
      </c>
      <c r="J32" s="4"/>
      <c r="K32" s="4"/>
      <c r="L32" s="4">
        <v>4</v>
      </c>
      <c r="M32" s="4">
        <v>4</v>
      </c>
      <c r="N32" s="4"/>
      <c r="O32" s="4"/>
      <c r="P32" s="4">
        <f t="shared" si="0"/>
        <v>16</v>
      </c>
      <c r="Q32" s="4">
        <f t="shared" si="1"/>
        <v>16</v>
      </c>
    </row>
    <row r="33" spans="1:17" x14ac:dyDescent="0.25">
      <c r="A33" s="4">
        <v>22</v>
      </c>
      <c r="B33" s="5" t="s">
        <v>59</v>
      </c>
      <c r="C33" s="5" t="s">
        <v>58</v>
      </c>
      <c r="D33" s="4">
        <v>3</v>
      </c>
      <c r="E33" s="4">
        <v>3</v>
      </c>
      <c r="F33" s="4">
        <v>3</v>
      </c>
      <c r="G33" s="4">
        <v>3</v>
      </c>
      <c r="H33" s="4"/>
      <c r="I33" s="4"/>
      <c r="J33" s="4"/>
      <c r="K33" s="4"/>
      <c r="L33" s="4"/>
      <c r="M33" s="4"/>
      <c r="N33" s="4"/>
      <c r="O33" s="4"/>
      <c r="P33" s="4">
        <f t="shared" si="0"/>
        <v>12</v>
      </c>
      <c r="Q33" s="4">
        <f t="shared" si="1"/>
        <v>12</v>
      </c>
    </row>
    <row r="34" spans="1:17" x14ac:dyDescent="0.25">
      <c r="A34" s="4">
        <v>23</v>
      </c>
      <c r="B34" s="5" t="s">
        <v>60</v>
      </c>
      <c r="C34" s="5" t="s">
        <v>61</v>
      </c>
      <c r="D34" s="4"/>
      <c r="E34" s="4"/>
      <c r="F34" s="4"/>
      <c r="G34" s="4"/>
      <c r="H34" s="4"/>
      <c r="I34" s="4"/>
      <c r="J34" s="4">
        <v>2</v>
      </c>
      <c r="K34" s="4">
        <v>2</v>
      </c>
      <c r="L34" s="4"/>
      <c r="M34" s="4"/>
      <c r="N34" s="4">
        <v>2</v>
      </c>
      <c r="O34" s="4">
        <v>2</v>
      </c>
      <c r="P34" s="4">
        <f t="shared" si="0"/>
        <v>8</v>
      </c>
      <c r="Q34" s="4">
        <f t="shared" si="1"/>
        <v>8</v>
      </c>
    </row>
    <row r="35" spans="1:17" x14ac:dyDescent="0.25">
      <c r="A35" s="4">
        <v>24</v>
      </c>
      <c r="B35" s="5" t="s">
        <v>62</v>
      </c>
      <c r="C35" s="5" t="s">
        <v>61</v>
      </c>
      <c r="D35" s="4"/>
      <c r="E35" s="4"/>
      <c r="F35" s="4"/>
      <c r="G35" s="4"/>
      <c r="H35" s="4">
        <v>2</v>
      </c>
      <c r="I35" s="4">
        <v>2</v>
      </c>
      <c r="J35" s="4"/>
      <c r="K35" s="4"/>
      <c r="L35" s="4">
        <v>2</v>
      </c>
      <c r="M35" s="4">
        <v>2</v>
      </c>
      <c r="N35" s="4"/>
      <c r="O35" s="4"/>
      <c r="P35" s="4">
        <f t="shared" si="0"/>
        <v>8</v>
      </c>
      <c r="Q35" s="4">
        <f t="shared" si="1"/>
        <v>8</v>
      </c>
    </row>
    <row r="36" spans="1:17" x14ac:dyDescent="0.25">
      <c r="A36" s="4">
        <v>25</v>
      </c>
      <c r="B36" s="5"/>
      <c r="C36" s="5" t="s">
        <v>61</v>
      </c>
      <c r="D36" s="4">
        <v>2</v>
      </c>
      <c r="E36" s="4">
        <v>2</v>
      </c>
      <c r="F36" s="4">
        <v>2</v>
      </c>
      <c r="G36" s="4">
        <v>2</v>
      </c>
      <c r="H36" s="4"/>
      <c r="I36" s="4"/>
      <c r="J36" s="4"/>
      <c r="K36" s="4"/>
      <c r="L36" s="4"/>
      <c r="M36" s="4"/>
      <c r="N36" s="4"/>
      <c r="O36" s="4"/>
      <c r="P36" s="4">
        <f t="shared" si="0"/>
        <v>8</v>
      </c>
      <c r="Q36" s="4">
        <f t="shared" si="1"/>
        <v>8</v>
      </c>
    </row>
    <row r="37" spans="1:17" x14ac:dyDescent="0.25">
      <c r="A37" s="4">
        <v>26</v>
      </c>
      <c r="B37" s="5" t="s">
        <v>63</v>
      </c>
      <c r="C37" s="5" t="s">
        <v>64</v>
      </c>
      <c r="D37" s="4"/>
      <c r="E37" s="4"/>
      <c r="F37" s="4"/>
      <c r="G37" s="4"/>
      <c r="H37" s="4">
        <v>3</v>
      </c>
      <c r="I37" s="4">
        <v>3</v>
      </c>
      <c r="J37" s="4">
        <v>3</v>
      </c>
      <c r="K37" s="4">
        <v>3</v>
      </c>
      <c r="L37" s="4">
        <v>3</v>
      </c>
      <c r="M37" s="4">
        <v>3</v>
      </c>
      <c r="N37" s="4">
        <v>3</v>
      </c>
      <c r="O37" s="4">
        <v>3</v>
      </c>
      <c r="P37" s="4">
        <f t="shared" si="0"/>
        <v>24</v>
      </c>
      <c r="Q37" s="4">
        <f t="shared" si="1"/>
        <v>24</v>
      </c>
    </row>
    <row r="38" spans="1:17" x14ac:dyDescent="0.25">
      <c r="A38" s="4">
        <v>27</v>
      </c>
      <c r="B38" s="5" t="s">
        <v>65</v>
      </c>
      <c r="C38" s="5" t="s">
        <v>64</v>
      </c>
      <c r="D38" s="4">
        <v>3</v>
      </c>
      <c r="E38" s="4"/>
      <c r="F38" s="4"/>
      <c r="G38" s="4">
        <v>3</v>
      </c>
      <c r="H38" s="4"/>
      <c r="I38" s="4"/>
      <c r="J38" s="4"/>
      <c r="K38" s="4"/>
      <c r="L38" s="4"/>
      <c r="M38" s="4"/>
      <c r="N38" s="4"/>
      <c r="O38" s="4"/>
      <c r="P38" s="4">
        <f t="shared" si="0"/>
        <v>6</v>
      </c>
      <c r="Q38" s="4">
        <f t="shared" si="1"/>
        <v>6</v>
      </c>
    </row>
    <row r="39" spans="1:17" x14ac:dyDescent="0.25">
      <c r="A39" s="4">
        <v>28</v>
      </c>
      <c r="B39" s="5" t="s">
        <v>66</v>
      </c>
      <c r="C39" s="5" t="s">
        <v>67</v>
      </c>
      <c r="D39" s="4"/>
      <c r="E39" s="4"/>
      <c r="F39" s="4"/>
      <c r="G39" s="4"/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f t="shared" si="0"/>
        <v>24</v>
      </c>
      <c r="Q39" s="4">
        <f t="shared" si="1"/>
        <v>24</v>
      </c>
    </row>
    <row r="40" spans="1:17" x14ac:dyDescent="0.25">
      <c r="A40" s="4">
        <v>29</v>
      </c>
      <c r="B40" s="5" t="s">
        <v>68</v>
      </c>
      <c r="C40" s="5" t="s">
        <v>67</v>
      </c>
      <c r="D40" s="4"/>
      <c r="E40" s="4"/>
      <c r="F40" s="4">
        <v>3</v>
      </c>
      <c r="G40" s="4">
        <v>3</v>
      </c>
      <c r="H40" s="4"/>
      <c r="I40" s="4"/>
      <c r="J40" s="4"/>
      <c r="K40" s="4"/>
      <c r="L40" s="4"/>
      <c r="M40" s="4"/>
      <c r="N40" s="4"/>
      <c r="O40" s="4"/>
      <c r="P40" s="4">
        <f t="shared" si="0"/>
        <v>6</v>
      </c>
      <c r="Q40" s="4">
        <f t="shared" si="1"/>
        <v>6</v>
      </c>
    </row>
    <row r="41" spans="1:17" x14ac:dyDescent="0.25">
      <c r="A41" s="4">
        <v>30</v>
      </c>
      <c r="B41" s="5" t="s">
        <v>69</v>
      </c>
      <c r="C41" s="5" t="s">
        <v>67</v>
      </c>
      <c r="D41" s="4">
        <v>3</v>
      </c>
      <c r="E41" s="4">
        <v>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f t="shared" si="0"/>
        <v>6</v>
      </c>
      <c r="Q41" s="4">
        <f t="shared" si="1"/>
        <v>6</v>
      </c>
    </row>
    <row r="42" spans="1:17" x14ac:dyDescent="0.25">
      <c r="A42" s="4">
        <v>31</v>
      </c>
      <c r="B42" s="5" t="s">
        <v>70</v>
      </c>
      <c r="C42" s="5" t="s">
        <v>71</v>
      </c>
      <c r="D42" s="4"/>
      <c r="E42" s="4"/>
      <c r="F42" s="4"/>
      <c r="G42" s="4"/>
      <c r="H42" s="4">
        <v>3</v>
      </c>
      <c r="I42" s="4">
        <v>3</v>
      </c>
      <c r="J42" s="4">
        <v>3</v>
      </c>
      <c r="K42" s="4">
        <v>3</v>
      </c>
      <c r="L42" s="4">
        <v>3</v>
      </c>
      <c r="M42" s="4"/>
      <c r="N42" s="4">
        <v>3</v>
      </c>
      <c r="O42" s="4">
        <v>3</v>
      </c>
      <c r="P42" s="4">
        <f t="shared" si="0"/>
        <v>21</v>
      </c>
      <c r="Q42" s="4">
        <f t="shared" si="1"/>
        <v>21</v>
      </c>
    </row>
    <row r="43" spans="1:17" x14ac:dyDescent="0.25">
      <c r="A43" s="4">
        <v>32</v>
      </c>
      <c r="B43" s="5" t="s">
        <v>72</v>
      </c>
      <c r="C43" s="5" t="s">
        <v>73</v>
      </c>
      <c r="D43" s="4"/>
      <c r="E43" s="4"/>
      <c r="F43" s="4"/>
      <c r="G43" s="4"/>
      <c r="H43" s="4">
        <v>2</v>
      </c>
      <c r="I43" s="4">
        <v>2</v>
      </c>
      <c r="J43" s="4">
        <v>2</v>
      </c>
      <c r="K43" s="4">
        <v>2</v>
      </c>
      <c r="L43" s="4">
        <v>2</v>
      </c>
      <c r="M43" s="4">
        <v>2</v>
      </c>
      <c r="N43" s="4">
        <v>2</v>
      </c>
      <c r="O43" s="4">
        <v>2</v>
      </c>
      <c r="P43" s="4">
        <f t="shared" si="0"/>
        <v>16</v>
      </c>
      <c r="Q43" s="4">
        <f t="shared" si="1"/>
        <v>16</v>
      </c>
    </row>
    <row r="44" spans="1:17" x14ac:dyDescent="0.25">
      <c r="A44" s="4">
        <v>33</v>
      </c>
      <c r="B44" s="5" t="s">
        <v>74</v>
      </c>
      <c r="C44" s="5" t="s">
        <v>75</v>
      </c>
      <c r="D44" s="4">
        <v>2</v>
      </c>
      <c r="E44" s="4">
        <v>2</v>
      </c>
      <c r="F44" s="4">
        <v>2</v>
      </c>
      <c r="G44" s="4">
        <v>2</v>
      </c>
      <c r="H44" s="4"/>
      <c r="I44" s="4"/>
      <c r="J44" s="4"/>
      <c r="K44" s="4"/>
      <c r="L44" s="4"/>
      <c r="M44" s="4"/>
      <c r="N44" s="4"/>
      <c r="O44" s="4"/>
      <c r="P44" s="4">
        <f t="shared" si="0"/>
        <v>8</v>
      </c>
      <c r="Q44" s="4">
        <f t="shared" si="1"/>
        <v>8</v>
      </c>
    </row>
    <row r="45" spans="1:17" x14ac:dyDescent="0.25">
      <c r="A45" s="4">
        <v>34</v>
      </c>
      <c r="B45" s="5" t="s">
        <v>76</v>
      </c>
      <c r="C45" s="5" t="s">
        <v>77</v>
      </c>
      <c r="D45" s="4"/>
      <c r="E45" s="4"/>
      <c r="F45" s="4"/>
      <c r="G45" s="4"/>
      <c r="H45" s="4"/>
      <c r="I45" s="4"/>
      <c r="J45" s="4"/>
      <c r="K45" s="4"/>
      <c r="L45" s="4">
        <v>1</v>
      </c>
      <c r="M45" s="4">
        <v>1</v>
      </c>
      <c r="N45" s="4">
        <v>1</v>
      </c>
      <c r="O45" s="4">
        <v>1</v>
      </c>
      <c r="P45" s="4">
        <f t="shared" si="0"/>
        <v>4</v>
      </c>
      <c r="Q45" s="4">
        <f t="shared" si="1"/>
        <v>4</v>
      </c>
    </row>
    <row r="46" spans="1:17" x14ac:dyDescent="0.25">
      <c r="A46" s="4">
        <v>35</v>
      </c>
      <c r="B46" s="5" t="s">
        <v>78</v>
      </c>
      <c r="C46" s="5" t="s">
        <v>77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/>
      <c r="M46" s="4"/>
      <c r="N46" s="4"/>
      <c r="O46" s="4"/>
      <c r="P46" s="4">
        <f t="shared" si="0"/>
        <v>8</v>
      </c>
      <c r="Q46" s="4">
        <f t="shared" si="1"/>
        <v>8</v>
      </c>
    </row>
    <row r="47" spans="1:17" x14ac:dyDescent="0.25">
      <c r="A47" s="4"/>
      <c r="B47" s="5" t="s">
        <v>78</v>
      </c>
      <c r="C47" s="5" t="s">
        <v>71</v>
      </c>
      <c r="D47" s="4">
        <v>3</v>
      </c>
      <c r="E47" s="4">
        <v>3</v>
      </c>
      <c r="F47" s="4">
        <v>3</v>
      </c>
      <c r="G47" s="4">
        <v>3</v>
      </c>
      <c r="H47" s="4"/>
      <c r="I47" s="4"/>
      <c r="J47" s="4"/>
      <c r="K47" s="4"/>
      <c r="L47" s="4"/>
      <c r="M47" s="4">
        <v>3</v>
      </c>
      <c r="N47" s="4"/>
      <c r="O47" s="4"/>
      <c r="P47" s="4">
        <f t="shared" si="0"/>
        <v>15</v>
      </c>
      <c r="Q47" s="4">
        <f t="shared" si="1"/>
        <v>15</v>
      </c>
    </row>
    <row r="48" spans="1:17" x14ac:dyDescent="0.25">
      <c r="A48" s="4">
        <v>36</v>
      </c>
      <c r="B48" s="5" t="s">
        <v>79</v>
      </c>
      <c r="C48" s="5" t="s">
        <v>80</v>
      </c>
      <c r="D48" s="4">
        <v>2</v>
      </c>
      <c r="E48" s="4">
        <v>2</v>
      </c>
      <c r="F48" s="4">
        <v>2</v>
      </c>
      <c r="G48" s="4">
        <v>2</v>
      </c>
      <c r="H48" s="4"/>
      <c r="I48" s="4"/>
      <c r="J48" s="4"/>
      <c r="K48" s="4"/>
      <c r="L48" s="4"/>
      <c r="M48" s="4"/>
      <c r="N48" s="4"/>
      <c r="O48" s="4"/>
      <c r="P48" s="4">
        <f t="shared" si="0"/>
        <v>8</v>
      </c>
      <c r="Q48" s="3">
        <f>P48+P49</f>
        <v>14</v>
      </c>
    </row>
    <row r="49" spans="1:17" x14ac:dyDescent="0.25">
      <c r="A49" s="4"/>
      <c r="B49" s="5" t="s">
        <v>79</v>
      </c>
      <c r="C49" s="5" t="s">
        <v>64</v>
      </c>
      <c r="D49" s="4"/>
      <c r="E49" s="4">
        <v>3</v>
      </c>
      <c r="F49" s="4">
        <v>3</v>
      </c>
      <c r="G49" s="4"/>
      <c r="H49" s="4"/>
      <c r="I49" s="4"/>
      <c r="J49" s="4"/>
      <c r="K49" s="4"/>
      <c r="L49" s="4"/>
      <c r="M49" s="4"/>
      <c r="N49" s="4"/>
      <c r="O49" s="4"/>
      <c r="P49" s="4">
        <f t="shared" si="0"/>
        <v>6</v>
      </c>
      <c r="Q49" s="3"/>
    </row>
    <row r="50" spans="1:17" x14ac:dyDescent="0.25">
      <c r="A50" s="4">
        <v>37</v>
      </c>
      <c r="B50" s="5" t="s">
        <v>81</v>
      </c>
      <c r="C50" s="5" t="s">
        <v>80</v>
      </c>
      <c r="D50" s="4"/>
      <c r="E50" s="4"/>
      <c r="F50" s="4"/>
      <c r="G50" s="4"/>
      <c r="H50" s="4"/>
      <c r="I50" s="4">
        <v>2</v>
      </c>
      <c r="J50" s="4">
        <v>2</v>
      </c>
      <c r="K50" s="4">
        <v>2</v>
      </c>
      <c r="L50" s="4"/>
      <c r="M50" s="4"/>
      <c r="N50" s="4"/>
      <c r="O50" s="4"/>
      <c r="P50" s="4">
        <f t="shared" si="0"/>
        <v>6</v>
      </c>
      <c r="Q50" s="4">
        <f t="shared" si="1"/>
        <v>6</v>
      </c>
    </row>
    <row r="51" spans="1:17" x14ac:dyDescent="0.25">
      <c r="A51" s="4">
        <v>38</v>
      </c>
      <c r="B51" s="5" t="s">
        <v>82</v>
      </c>
      <c r="C51" s="5" t="s">
        <v>80</v>
      </c>
      <c r="D51" s="4"/>
      <c r="E51" s="4"/>
      <c r="F51" s="4"/>
      <c r="G51" s="4"/>
      <c r="H51" s="4">
        <v>2</v>
      </c>
      <c r="I51" s="4"/>
      <c r="J51" s="4"/>
      <c r="K51" s="4"/>
      <c r="L51" s="4"/>
      <c r="M51" s="4"/>
      <c r="N51" s="4"/>
      <c r="O51" s="4"/>
      <c r="P51" s="4">
        <f>SUM(D51:O51)</f>
        <v>2</v>
      </c>
      <c r="Q51" s="4">
        <f t="shared" si="1"/>
        <v>2</v>
      </c>
    </row>
    <row r="52" spans="1:17" x14ac:dyDescent="0.25">
      <c r="A52" s="4">
        <v>39</v>
      </c>
      <c r="B52" s="5" t="s">
        <v>83</v>
      </c>
      <c r="C52" s="5" t="s">
        <v>80</v>
      </c>
      <c r="D52" s="4"/>
      <c r="E52" s="4"/>
      <c r="F52" s="4"/>
      <c r="G52" s="4"/>
      <c r="H52" s="4"/>
      <c r="I52" s="4"/>
      <c r="J52" s="4"/>
      <c r="K52" s="4"/>
      <c r="L52" s="4">
        <v>2</v>
      </c>
      <c r="M52" s="4">
        <v>2</v>
      </c>
      <c r="N52" s="4">
        <v>2</v>
      </c>
      <c r="O52" s="4">
        <v>2</v>
      </c>
      <c r="P52" s="4">
        <f t="shared" si="0"/>
        <v>8</v>
      </c>
      <c r="Q52" s="4">
        <f t="shared" si="1"/>
        <v>8</v>
      </c>
    </row>
    <row r="53" spans="1:17" x14ac:dyDescent="0.25">
      <c r="A53" s="4">
        <v>40</v>
      </c>
      <c r="B53" s="5" t="s">
        <v>84</v>
      </c>
      <c r="C53" s="5" t="s">
        <v>44</v>
      </c>
      <c r="D53" s="4">
        <v>2</v>
      </c>
      <c r="E53" s="4">
        <v>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f t="shared" si="0"/>
        <v>4</v>
      </c>
      <c r="Q53" s="4">
        <f t="shared" si="1"/>
        <v>4</v>
      </c>
    </row>
    <row r="54" spans="1:17" x14ac:dyDescent="0.25">
      <c r="A54" s="4"/>
      <c r="B54" s="5" t="s">
        <v>21</v>
      </c>
      <c r="C54" s="5"/>
      <c r="D54" s="4">
        <f t="shared" ref="D54:N54" si="2">SUM(D7:D53)</f>
        <v>44</v>
      </c>
      <c r="E54" s="4">
        <f t="shared" si="2"/>
        <v>44</v>
      </c>
      <c r="F54" s="4">
        <f t="shared" si="2"/>
        <v>44</v>
      </c>
      <c r="G54" s="4">
        <f t="shared" si="2"/>
        <v>44</v>
      </c>
      <c r="H54" s="4">
        <f t="shared" si="2"/>
        <v>44</v>
      </c>
      <c r="I54" s="4">
        <f t="shared" si="2"/>
        <v>44</v>
      </c>
      <c r="J54" s="4">
        <f t="shared" si="2"/>
        <v>44</v>
      </c>
      <c r="K54" s="4">
        <f t="shared" si="2"/>
        <v>44</v>
      </c>
      <c r="L54" s="4">
        <f t="shared" si="2"/>
        <v>44</v>
      </c>
      <c r="M54" s="4">
        <f t="shared" si="2"/>
        <v>44</v>
      </c>
      <c r="N54" s="4">
        <f t="shared" si="2"/>
        <v>44</v>
      </c>
      <c r="O54" s="4">
        <f>SUM(O7:O53)</f>
        <v>44</v>
      </c>
      <c r="P54" s="4">
        <f t="shared" ref="P54:Q54" si="3">SUM(P7:P53)</f>
        <v>528</v>
      </c>
      <c r="Q54" s="4">
        <f t="shared" si="3"/>
        <v>528</v>
      </c>
    </row>
  </sheetData>
  <mergeCells count="13">
    <mergeCell ref="Q13:Q15"/>
    <mergeCell ref="Q17:Q18"/>
    <mergeCell ref="Q27:Q28"/>
    <mergeCell ref="Q48:Q49"/>
    <mergeCell ref="A1:Q1"/>
    <mergeCell ref="A2:Q2"/>
    <mergeCell ref="A3:Q3"/>
    <mergeCell ref="Q8:Q9"/>
    <mergeCell ref="D4:G4"/>
    <mergeCell ref="H4:K4"/>
    <mergeCell ref="L4:O4"/>
    <mergeCell ref="D6:G6"/>
    <mergeCell ref="P4:P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Ghifary</dc:creator>
  <cp:lastModifiedBy>Ghifary</cp:lastModifiedBy>
  <dcterms:created xsi:type="dcterms:W3CDTF">2026-10-17T04:16:57Z</dcterms:created>
  <dcterms:modified xsi:type="dcterms:W3CDTF">2026-10-17T05:02:04Z</dcterms:modified>
</cp:coreProperties>
</file>